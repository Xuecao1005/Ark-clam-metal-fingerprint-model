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6" i="1" l="1"/>
  <c r="W56" i="1"/>
  <c r="X56" i="1"/>
  <c r="Y56" i="1"/>
  <c r="Z56" i="1"/>
  <c r="AA56" i="1"/>
  <c r="AB56" i="1"/>
  <c r="AC56" i="1"/>
  <c r="AD56" i="1"/>
  <c r="V57" i="1"/>
  <c r="W57" i="1"/>
  <c r="X57" i="1"/>
  <c r="Y57" i="1"/>
  <c r="Z57" i="1"/>
  <c r="AA57" i="1"/>
  <c r="AB57" i="1"/>
  <c r="AC57" i="1"/>
  <c r="AD57" i="1"/>
  <c r="V58" i="1"/>
  <c r="W58" i="1"/>
  <c r="X58" i="1"/>
  <c r="Y58" i="1"/>
  <c r="Z58" i="1"/>
  <c r="AA58" i="1"/>
  <c r="AB58" i="1"/>
  <c r="AC58" i="1"/>
  <c r="AD58" i="1"/>
  <c r="V59" i="1"/>
  <c r="W59" i="1"/>
  <c r="X59" i="1"/>
  <c r="Y59" i="1"/>
  <c r="Z59" i="1"/>
  <c r="AA59" i="1"/>
  <c r="AB59" i="1"/>
  <c r="AC59" i="1"/>
  <c r="AD59" i="1"/>
  <c r="V60" i="1"/>
  <c r="W60" i="1"/>
  <c r="X60" i="1"/>
  <c r="Y60" i="1"/>
  <c r="Z60" i="1"/>
  <c r="AA60" i="1"/>
  <c r="AB60" i="1"/>
  <c r="AC60" i="1"/>
  <c r="AD60" i="1"/>
  <c r="V61" i="1"/>
  <c r="W61" i="1"/>
  <c r="X61" i="1"/>
  <c r="Y61" i="1"/>
  <c r="Z61" i="1"/>
  <c r="AA61" i="1"/>
  <c r="AB61" i="1"/>
  <c r="AC61" i="1"/>
  <c r="AD61" i="1"/>
  <c r="V62" i="1"/>
  <c r="W62" i="1"/>
  <c r="X62" i="1"/>
  <c r="Y62" i="1"/>
  <c r="Z62" i="1"/>
  <c r="AA62" i="1"/>
  <c r="AB62" i="1"/>
  <c r="AC62" i="1"/>
  <c r="AD62" i="1"/>
  <c r="V63" i="1"/>
  <c r="W63" i="1"/>
  <c r="X63" i="1"/>
  <c r="Y63" i="1"/>
  <c r="Z63" i="1"/>
  <c r="AA63" i="1"/>
  <c r="AB63" i="1"/>
  <c r="AC63" i="1"/>
  <c r="AD63" i="1"/>
  <c r="V64" i="1"/>
  <c r="W64" i="1"/>
  <c r="X64" i="1"/>
  <c r="Y64" i="1"/>
  <c r="Z64" i="1"/>
  <c r="AA64" i="1"/>
  <c r="AB64" i="1"/>
  <c r="AC64" i="1"/>
  <c r="AD64" i="1"/>
  <c r="U57" i="1"/>
  <c r="U58" i="1"/>
  <c r="U59" i="1"/>
  <c r="U60" i="1"/>
  <c r="U61" i="1"/>
  <c r="U62" i="1"/>
  <c r="U63" i="1"/>
  <c r="U64" i="1"/>
  <c r="U56" i="1"/>
  <c r="W46" i="1"/>
  <c r="X46" i="1"/>
  <c r="Y46" i="1"/>
  <c r="Z46" i="1"/>
  <c r="AA46" i="1"/>
  <c r="AB46" i="1"/>
  <c r="AC46" i="1"/>
  <c r="AD46" i="1"/>
  <c r="W47" i="1"/>
  <c r="X47" i="1"/>
  <c r="Y47" i="1"/>
  <c r="Z47" i="1"/>
  <c r="AA47" i="1"/>
  <c r="AB47" i="1"/>
  <c r="AC47" i="1"/>
  <c r="AD47" i="1"/>
  <c r="W48" i="1"/>
  <c r="X48" i="1"/>
  <c r="Y48" i="1"/>
  <c r="Z48" i="1"/>
  <c r="AA48" i="1"/>
  <c r="AB48" i="1"/>
  <c r="AC48" i="1"/>
  <c r="AD48" i="1"/>
  <c r="W49" i="1"/>
  <c r="X49" i="1"/>
  <c r="Y49" i="1"/>
  <c r="Z49" i="1"/>
  <c r="AA49" i="1"/>
  <c r="AB49" i="1"/>
  <c r="AC49" i="1"/>
  <c r="AD49" i="1"/>
  <c r="W50" i="1"/>
  <c r="X50" i="1"/>
  <c r="Y50" i="1"/>
  <c r="Z50" i="1"/>
  <c r="AA50" i="1"/>
  <c r="AB50" i="1"/>
  <c r="AC50" i="1"/>
  <c r="AD50" i="1"/>
  <c r="W51" i="1"/>
  <c r="X51" i="1"/>
  <c r="Y51" i="1"/>
  <c r="Z51" i="1"/>
  <c r="AA51" i="1"/>
  <c r="AB51" i="1"/>
  <c r="AC51" i="1"/>
  <c r="AD51" i="1"/>
  <c r="W52" i="1"/>
  <c r="X52" i="1"/>
  <c r="Y52" i="1"/>
  <c r="Z52" i="1"/>
  <c r="AA52" i="1"/>
  <c r="AB52" i="1"/>
  <c r="AC52" i="1"/>
  <c r="AD52" i="1"/>
  <c r="W53" i="1"/>
  <c r="X53" i="1"/>
  <c r="Y53" i="1"/>
  <c r="Z53" i="1"/>
  <c r="AA53" i="1"/>
  <c r="AB53" i="1"/>
  <c r="AC53" i="1"/>
  <c r="AD53" i="1"/>
  <c r="W54" i="1"/>
  <c r="X54" i="1"/>
  <c r="Y54" i="1"/>
  <c r="Z54" i="1"/>
  <c r="AA54" i="1"/>
  <c r="AB54" i="1"/>
  <c r="AC54" i="1"/>
  <c r="AD54" i="1"/>
  <c r="AB55" i="1"/>
  <c r="V46" i="1"/>
  <c r="V47" i="1"/>
  <c r="V48" i="1"/>
  <c r="V49" i="1"/>
  <c r="V50" i="1"/>
  <c r="V51" i="1"/>
  <c r="V52" i="1"/>
  <c r="V53" i="1"/>
  <c r="V54" i="1"/>
  <c r="U47" i="1"/>
  <c r="U48" i="1"/>
  <c r="U49" i="1"/>
  <c r="U50" i="1"/>
  <c r="U51" i="1"/>
  <c r="U52" i="1"/>
  <c r="U53" i="1"/>
  <c r="U54" i="1"/>
  <c r="U46" i="1"/>
  <c r="AB31" i="1" l="1"/>
  <c r="AB2" i="1"/>
  <c r="AB8" i="1"/>
  <c r="AB3" i="1"/>
  <c r="AB4" i="1"/>
  <c r="AB6" i="1"/>
  <c r="AB7" i="1"/>
  <c r="AB9" i="1"/>
  <c r="AB10" i="1"/>
  <c r="AB12" i="1"/>
  <c r="AB13" i="1"/>
  <c r="AB14" i="1"/>
  <c r="AB15" i="1"/>
  <c r="AB16" i="1"/>
  <c r="AB17" i="1"/>
  <c r="AB18" i="1"/>
  <c r="AB19" i="1"/>
  <c r="AB20" i="1"/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3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31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" i="1"/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" i="1"/>
  <c r="I38" i="1" l="1"/>
  <c r="I40" i="1"/>
  <c r="I42" i="1"/>
  <c r="I41" i="1"/>
  <c r="I39" i="1"/>
  <c r="I37" i="1"/>
  <c r="I36" i="1"/>
  <c r="I35" i="1"/>
  <c r="I34" i="1"/>
  <c r="I45" i="1"/>
  <c r="I44" i="1"/>
  <c r="I43" i="1"/>
  <c r="I33" i="1"/>
  <c r="I32" i="1"/>
  <c r="I27" i="1"/>
  <c r="I29" i="1"/>
  <c r="I28" i="1"/>
  <c r="I26" i="1"/>
  <c r="I25" i="1"/>
  <c r="I23" i="1"/>
  <c r="I22" i="1"/>
  <c r="I21" i="1"/>
  <c r="I24" i="1"/>
  <c r="I30" i="1"/>
  <c r="AB33" i="1" l="1"/>
  <c r="AD33" i="1"/>
  <c r="AC33" i="1"/>
  <c r="AB35" i="1"/>
  <c r="AD35" i="1"/>
  <c r="AC35" i="1"/>
  <c r="AB28" i="1"/>
  <c r="AD28" i="1"/>
  <c r="AC28" i="1"/>
  <c r="AB39" i="1"/>
  <c r="AD39" i="1"/>
  <c r="AC39" i="1"/>
  <c r="AD30" i="1"/>
  <c r="AD55" i="1" s="1"/>
  <c r="AC30" i="1"/>
  <c r="AC55" i="1" s="1"/>
  <c r="AB29" i="1"/>
  <c r="AD29" i="1"/>
  <c r="AC29" i="1"/>
  <c r="AD24" i="1"/>
  <c r="AC24" i="1"/>
  <c r="AB25" i="1"/>
  <c r="AD25" i="1"/>
  <c r="AC25" i="1"/>
  <c r="AB27" i="1"/>
  <c r="AD27" i="1"/>
  <c r="AC27" i="1"/>
  <c r="AB44" i="1"/>
  <c r="AD44" i="1"/>
  <c r="AC44" i="1"/>
  <c r="AB36" i="1"/>
  <c r="AD36" i="1"/>
  <c r="AC36" i="1"/>
  <c r="AC42" i="1"/>
  <c r="AD42" i="1"/>
  <c r="AB22" i="1"/>
  <c r="AD22" i="1"/>
  <c r="AC22" i="1"/>
  <c r="AB34" i="1"/>
  <c r="AC34" i="1"/>
  <c r="AD34" i="1"/>
  <c r="AB38" i="1"/>
  <c r="AC38" i="1"/>
  <c r="AD38" i="1"/>
  <c r="AB23" i="1"/>
  <c r="AD23" i="1"/>
  <c r="AC23" i="1"/>
  <c r="AB43" i="1"/>
  <c r="AC43" i="1"/>
  <c r="AD43" i="1"/>
  <c r="AB41" i="1"/>
  <c r="AD41" i="1"/>
  <c r="AC41" i="1"/>
  <c r="AD21" i="1"/>
  <c r="AC21" i="1"/>
  <c r="AB26" i="1"/>
  <c r="AC26" i="1"/>
  <c r="AD26" i="1"/>
  <c r="AB32" i="1"/>
  <c r="AD32" i="1"/>
  <c r="AC32" i="1"/>
  <c r="AB45" i="1"/>
  <c r="AD45" i="1"/>
  <c r="AC45" i="1"/>
  <c r="AB37" i="1"/>
  <c r="AD37" i="1"/>
  <c r="AC37" i="1"/>
  <c r="AB40" i="1"/>
  <c r="AD40" i="1"/>
  <c r="AC40" i="1"/>
  <c r="AA29" i="1"/>
  <c r="Z29" i="1"/>
  <c r="Y29" i="1"/>
  <c r="X29" i="1"/>
  <c r="W29" i="1"/>
  <c r="V29" i="1"/>
  <c r="U29" i="1"/>
  <c r="AA43" i="1"/>
  <c r="Z43" i="1"/>
  <c r="Y43" i="1"/>
  <c r="X43" i="1"/>
  <c r="W43" i="1"/>
  <c r="V43" i="1"/>
  <c r="U43" i="1"/>
  <c r="AA24" i="1"/>
  <c r="Z24" i="1"/>
  <c r="Y24" i="1"/>
  <c r="X24" i="1"/>
  <c r="W24" i="1"/>
  <c r="V24" i="1"/>
  <c r="U24" i="1"/>
  <c r="Z44" i="1"/>
  <c r="AA44" i="1"/>
  <c r="Y44" i="1"/>
  <c r="X44" i="1"/>
  <c r="W44" i="1"/>
  <c r="V44" i="1"/>
  <c r="U44" i="1"/>
  <c r="Z42" i="1"/>
  <c r="AA42" i="1"/>
  <c r="Y42" i="1"/>
  <c r="W42" i="1"/>
  <c r="V42" i="1"/>
  <c r="X42" i="1"/>
  <c r="U42" i="1"/>
  <c r="Z31" i="1"/>
  <c r="AA31" i="1"/>
  <c r="U31" i="1"/>
  <c r="Y31" i="1"/>
  <c r="W31" i="1"/>
  <c r="X31" i="1"/>
  <c r="V31" i="1"/>
  <c r="AA35" i="1"/>
  <c r="Z35" i="1"/>
  <c r="Y35" i="1"/>
  <c r="X35" i="1"/>
  <c r="W35" i="1"/>
  <c r="V35" i="1"/>
  <c r="U35" i="1"/>
  <c r="AA25" i="1"/>
  <c r="Z25" i="1"/>
  <c r="Y25" i="1"/>
  <c r="X25" i="1"/>
  <c r="W25" i="1"/>
  <c r="V25" i="1"/>
  <c r="U25" i="1"/>
  <c r="Z21" i="1"/>
  <c r="AA21" i="1"/>
  <c r="Y21" i="1"/>
  <c r="X21" i="1"/>
  <c r="W21" i="1"/>
  <c r="V21" i="1"/>
  <c r="U21" i="1"/>
  <c r="AA37" i="1"/>
  <c r="Z37" i="1"/>
  <c r="Y37" i="1"/>
  <c r="X37" i="1"/>
  <c r="W37" i="1"/>
  <c r="V37" i="1"/>
  <c r="U37" i="1"/>
  <c r="AA40" i="1"/>
  <c r="Z40" i="1"/>
  <c r="Y40" i="1"/>
  <c r="X40" i="1"/>
  <c r="W40" i="1"/>
  <c r="V40" i="1"/>
  <c r="U40" i="1"/>
  <c r="AA23" i="1"/>
  <c r="Z23" i="1"/>
  <c r="Y23" i="1"/>
  <c r="X23" i="1"/>
  <c r="W23" i="1"/>
  <c r="V23" i="1"/>
  <c r="U23" i="1"/>
  <c r="Z41" i="1"/>
  <c r="AA41" i="1"/>
  <c r="Y41" i="1"/>
  <c r="X41" i="1"/>
  <c r="W41" i="1"/>
  <c r="V41" i="1"/>
  <c r="U41" i="1"/>
  <c r="AA27" i="1"/>
  <c r="Z27" i="1"/>
  <c r="Y27" i="1"/>
  <c r="X27" i="1"/>
  <c r="W27" i="1"/>
  <c r="V27" i="1"/>
  <c r="U27" i="1"/>
  <c r="AA36" i="1"/>
  <c r="Z36" i="1"/>
  <c r="Y36" i="1"/>
  <c r="X36" i="1"/>
  <c r="W36" i="1"/>
  <c r="V36" i="1"/>
  <c r="U36" i="1"/>
  <c r="AA26" i="1"/>
  <c r="Z26" i="1"/>
  <c r="X26" i="1"/>
  <c r="V26" i="1"/>
  <c r="U26" i="1"/>
  <c r="Y26" i="1"/>
  <c r="W26" i="1"/>
  <c r="AA32" i="1"/>
  <c r="Z32" i="1"/>
  <c r="Y32" i="1"/>
  <c r="X32" i="1"/>
  <c r="W32" i="1"/>
  <c r="V32" i="1"/>
  <c r="U32" i="1"/>
  <c r="AA45" i="1"/>
  <c r="Z45" i="1"/>
  <c r="Y45" i="1"/>
  <c r="X45" i="1"/>
  <c r="W45" i="1"/>
  <c r="V45" i="1"/>
  <c r="U45" i="1"/>
  <c r="Z30" i="1"/>
  <c r="Z55" i="1" s="1"/>
  <c r="AA30" i="1"/>
  <c r="AA55" i="1" s="1"/>
  <c r="Y30" i="1"/>
  <c r="Y55" i="1" s="1"/>
  <c r="X30" i="1"/>
  <c r="X55" i="1" s="1"/>
  <c r="W30" i="1"/>
  <c r="W55" i="1" s="1"/>
  <c r="V30" i="1"/>
  <c r="V55" i="1" s="1"/>
  <c r="U30" i="1"/>
  <c r="U55" i="1" s="1"/>
  <c r="AA22" i="1"/>
  <c r="Z22" i="1"/>
  <c r="X22" i="1"/>
  <c r="W22" i="1"/>
  <c r="U22" i="1"/>
  <c r="Y22" i="1"/>
  <c r="V22" i="1"/>
  <c r="AA28" i="1"/>
  <c r="Z28" i="1"/>
  <c r="Y28" i="1"/>
  <c r="X28" i="1"/>
  <c r="W28" i="1"/>
  <c r="V28" i="1"/>
  <c r="U28" i="1"/>
  <c r="AA33" i="1"/>
  <c r="Z33" i="1"/>
  <c r="Y33" i="1"/>
  <c r="X33" i="1"/>
  <c r="W33" i="1"/>
  <c r="V33" i="1"/>
  <c r="U33" i="1"/>
  <c r="AA34" i="1"/>
  <c r="Z34" i="1"/>
  <c r="X34" i="1"/>
  <c r="W34" i="1"/>
  <c r="V34" i="1"/>
  <c r="Y34" i="1"/>
  <c r="U34" i="1"/>
  <c r="AA39" i="1"/>
  <c r="Z39" i="1"/>
  <c r="Y39" i="1"/>
  <c r="X39" i="1"/>
  <c r="W39" i="1"/>
  <c r="V39" i="1"/>
  <c r="U39" i="1"/>
  <c r="AA38" i="1"/>
  <c r="Z38" i="1"/>
  <c r="Y38" i="1"/>
  <c r="X38" i="1"/>
  <c r="U38" i="1"/>
  <c r="W38" i="1"/>
  <c r="V38" i="1"/>
</calcChain>
</file>

<file path=xl/sharedStrings.xml><?xml version="1.0" encoding="utf-8"?>
<sst xmlns="http://schemas.openxmlformats.org/spreadsheetml/2006/main" count="592" uniqueCount="106">
  <si>
    <t>Ak-h-2-pm</t>
  </si>
  <si>
    <t>Ak-v-2-pm</t>
  </si>
  <si>
    <t>Ak-g-2-pm</t>
  </si>
  <si>
    <t>Ak-m-2-pm</t>
  </si>
  <si>
    <t>Ak-h-2-cytosol</t>
  </si>
  <si>
    <t>Ak-s-2-cytosol</t>
  </si>
  <si>
    <t>Ak-v-2-cytosol</t>
  </si>
  <si>
    <t>Ak-g-2-cytosol</t>
  </si>
  <si>
    <t>Ak-m-2-cytosol</t>
  </si>
  <si>
    <t>sample</t>
    <phoneticPr fontId="2" type="noConversion"/>
  </si>
  <si>
    <t>Ni60_ppb</t>
    <phoneticPr fontId="2" type="noConversion"/>
  </si>
  <si>
    <t>Ni61_ppb</t>
    <phoneticPr fontId="2" type="noConversion"/>
  </si>
  <si>
    <t>Cu63_ppb</t>
    <phoneticPr fontId="2" type="noConversion"/>
  </si>
  <si>
    <t>Cu65_ppb</t>
    <phoneticPr fontId="2" type="noConversion"/>
  </si>
  <si>
    <t>Zn66_ppb</t>
    <phoneticPr fontId="2" type="noConversion"/>
  </si>
  <si>
    <t>Zn68_ppb</t>
    <phoneticPr fontId="2" type="noConversion"/>
  </si>
  <si>
    <t>Cd111_ppb</t>
    <phoneticPr fontId="2" type="noConversion"/>
  </si>
  <si>
    <t>Cd113_ppb</t>
    <phoneticPr fontId="2" type="noConversion"/>
  </si>
  <si>
    <t>Pb206_ppb</t>
    <phoneticPr fontId="2" type="noConversion"/>
  </si>
  <si>
    <t>Pb207_ppb</t>
    <phoneticPr fontId="2" type="noConversion"/>
  </si>
  <si>
    <t>Pb208_ppb</t>
    <phoneticPr fontId="2" type="noConversion"/>
  </si>
  <si>
    <t>volume_L</t>
    <phoneticPr fontId="2" type="noConversion"/>
  </si>
  <si>
    <t>dilution</t>
    <phoneticPr fontId="2" type="noConversion"/>
  </si>
  <si>
    <t>hemocyte</t>
    <phoneticPr fontId="2" type="noConversion"/>
  </si>
  <si>
    <t>viscera</t>
    <phoneticPr fontId="2" type="noConversion"/>
  </si>
  <si>
    <t>gill</t>
    <phoneticPr fontId="2" type="noConversion"/>
  </si>
  <si>
    <t>muscle</t>
    <phoneticPr fontId="2" type="noConversion"/>
  </si>
  <si>
    <t>particle</t>
    <phoneticPr fontId="2" type="noConversion"/>
  </si>
  <si>
    <t>cytosol</t>
    <phoneticPr fontId="2" type="noConversion"/>
  </si>
  <si>
    <t>serum</t>
    <phoneticPr fontId="2" type="noConversion"/>
  </si>
  <si>
    <t>rep</t>
    <phoneticPr fontId="2" type="noConversion"/>
  </si>
  <si>
    <t>A. kagoshimensis</t>
    <phoneticPr fontId="2" type="noConversion"/>
  </si>
  <si>
    <t>Ak-m-3-pm</t>
  </si>
  <si>
    <t>Ak-m-4-pm</t>
  </si>
  <si>
    <t>Tg-m-2-pm</t>
  </si>
  <si>
    <t>Tg-m-3-pm</t>
  </si>
  <si>
    <t>Tg-m-4-pm</t>
  </si>
  <si>
    <t>Ak-v-3-pm</t>
  </si>
  <si>
    <t>Ak-v-4-pm</t>
  </si>
  <si>
    <t>Tg-v-2-pm</t>
  </si>
  <si>
    <t>Tg-v-3-pm</t>
  </si>
  <si>
    <t>Tg-v-4-pm</t>
  </si>
  <si>
    <t>Ak-g-3-pm</t>
  </si>
  <si>
    <t>Ak-g-4-pm</t>
  </si>
  <si>
    <t>Tg-g-2-pm</t>
  </si>
  <si>
    <t>Tg-g-3-pm</t>
  </si>
  <si>
    <t>Tg-g-4-pm</t>
  </si>
  <si>
    <t>T. granosa</t>
    <phoneticPr fontId="2" type="noConversion"/>
  </si>
  <si>
    <t>Ak-m-3-cytosol</t>
  </si>
  <si>
    <t>Ak-m-4-cytosol</t>
  </si>
  <si>
    <t>Ak-v-3-cytosol</t>
  </si>
  <si>
    <t>Ak-v-4-cytosol</t>
  </si>
  <si>
    <t>Ak-g-3-cytosol</t>
  </si>
  <si>
    <t>Ak-g-4-cytosol</t>
  </si>
  <si>
    <t>Ak-s-3-cytosol</t>
  </si>
  <si>
    <t>Ak-s-4-cytosol</t>
  </si>
  <si>
    <t>Tg-m-2-cytosol</t>
  </si>
  <si>
    <t>Tg-m-3-cytosol</t>
  </si>
  <si>
    <t>Tg-m-4-cytosol</t>
  </si>
  <si>
    <t>Tg-v-2-cytosol</t>
  </si>
  <si>
    <t>Tg-v-3-cytosol</t>
  </si>
  <si>
    <t>Tg-v-4-cytosol</t>
  </si>
  <si>
    <t>Tg-g-2-cytosol</t>
  </si>
  <si>
    <t>Tg-g-3-cytosol</t>
  </si>
  <si>
    <t>Tg-g-4-cytosol</t>
  </si>
  <si>
    <t>Tg-s-2-cytosol</t>
  </si>
  <si>
    <t>Tg-s-3-cytosol</t>
  </si>
  <si>
    <t>Tg-s-4-cytosol</t>
  </si>
  <si>
    <t>Ni60_back_ug_g</t>
  </si>
  <si>
    <t>Cu63_back_ug_g</t>
    <phoneticPr fontId="2" type="noConversion"/>
  </si>
  <si>
    <t>Zn66_back_ug_g</t>
    <phoneticPr fontId="2" type="noConversion"/>
  </si>
  <si>
    <t>Cd111_back_ug_g</t>
    <phoneticPr fontId="2" type="noConversion"/>
  </si>
  <si>
    <t>Pb207_back_ug_g</t>
    <phoneticPr fontId="2" type="noConversion"/>
  </si>
  <si>
    <t>Tissue</t>
    <phoneticPr fontId="2" type="noConversion"/>
  </si>
  <si>
    <t>Fraction</t>
    <phoneticPr fontId="2" type="noConversion"/>
  </si>
  <si>
    <t>Species</t>
    <phoneticPr fontId="2" type="noConversion"/>
  </si>
  <si>
    <t>analysis</t>
    <phoneticPr fontId="2" type="noConversion"/>
  </si>
  <si>
    <t>A1</t>
    <phoneticPr fontId="2" type="noConversion"/>
  </si>
  <si>
    <t>A2</t>
    <phoneticPr fontId="2" type="noConversion"/>
  </si>
  <si>
    <t>accumulated_Ni61_ug_g</t>
    <phoneticPr fontId="2" type="noConversion"/>
  </si>
  <si>
    <t>accumulated_Cd113_ug_g</t>
    <phoneticPr fontId="2" type="noConversion"/>
  </si>
  <si>
    <t>accumulated_Pb206_ug_g</t>
    <phoneticPr fontId="2" type="noConversion"/>
  </si>
  <si>
    <t>accumulated_Cu65_ug_g</t>
    <phoneticPr fontId="2" type="noConversion"/>
  </si>
  <si>
    <t>accumulated_Zn68_ug_g</t>
    <phoneticPr fontId="2" type="noConversion"/>
  </si>
  <si>
    <t>NA</t>
    <phoneticPr fontId="2" type="noConversion"/>
  </si>
  <si>
    <t>total</t>
    <phoneticPr fontId="2" type="noConversion"/>
  </si>
  <si>
    <t>Ak-m-2</t>
    <phoneticPr fontId="2" type="noConversion"/>
  </si>
  <si>
    <t>Ak-m-3</t>
  </si>
  <si>
    <t>Ak-m-4</t>
  </si>
  <si>
    <t>Ak-v-2</t>
    <phoneticPr fontId="2" type="noConversion"/>
  </si>
  <si>
    <t>Ak-v-3</t>
  </si>
  <si>
    <t>Ak-v-4</t>
  </si>
  <si>
    <t>Ak-g-2</t>
    <phoneticPr fontId="2" type="noConversion"/>
  </si>
  <si>
    <t>Ak-g-3</t>
  </si>
  <si>
    <t>Ak-g-4</t>
  </si>
  <si>
    <t>Ak-h-2</t>
    <phoneticPr fontId="2" type="noConversion"/>
  </si>
  <si>
    <t>Tg-m-2</t>
    <phoneticPr fontId="2" type="noConversion"/>
  </si>
  <si>
    <t>Tg-m-3</t>
  </si>
  <si>
    <t>Tg-m-4</t>
  </si>
  <si>
    <t>Tg-v-2</t>
    <phoneticPr fontId="2" type="noConversion"/>
  </si>
  <si>
    <t>Tg-v-3</t>
  </si>
  <si>
    <t>Tg-v-4</t>
  </si>
  <si>
    <t>Tg-g-2</t>
    <phoneticPr fontId="2" type="noConversion"/>
  </si>
  <si>
    <t>Tg-g-3</t>
  </si>
  <si>
    <t>Tg-g-4</t>
  </si>
  <si>
    <t>ww_g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</si>
</sst>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3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NumberFormat="1"/>
    <xf numFmtId="176" fontId="0" fillId="2" borderId="0" xfId="0" applyNumberFormat="1" applyFill="1"/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4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11" sqref="H11"/>
    </sheetView>
  </sheetViews>
  <sheetFormatPr defaultRowHeight="14.25" x14ac:dyDescent="0.2"/>
  <cols>
    <col min="1" max="2" width="15" customWidth="1"/>
    <col min="3" max="3" width="9.125" customWidth="1"/>
    <col min="4" max="6" width="8.5" customWidth="1"/>
    <col min="7" max="7" width="10.5" customWidth="1"/>
    <col min="8" max="9" width="8.75" style="2" bestFit="1" customWidth="1"/>
    <col min="10" max="13" width="8.75" style="1" customWidth="1"/>
    <col min="14" max="15" width="9.125" style="1" bestFit="1" customWidth="1"/>
    <col min="16" max="16" width="9.625" style="1" customWidth="1"/>
    <col min="17" max="17" width="9.875" style="1" customWidth="1"/>
    <col min="18" max="20" width="9.625" style="1" customWidth="1"/>
    <col min="21" max="21" width="14.125" style="1" customWidth="1"/>
    <col min="22" max="22" width="14" style="1" customWidth="1"/>
    <col min="23" max="23" width="14.375" style="1" customWidth="1"/>
    <col min="24" max="24" width="15.125" style="1" customWidth="1"/>
    <col min="25" max="25" width="15.25" style="1" customWidth="1"/>
    <col min="26" max="26" width="20.5" style="1" customWidth="1"/>
    <col min="27" max="28" width="20.625" style="1" customWidth="1"/>
    <col min="29" max="30" width="22.25" style="1" customWidth="1"/>
  </cols>
  <sheetData>
    <row r="1" spans="1:30" x14ac:dyDescent="0.2">
      <c r="A1" t="s">
        <v>9</v>
      </c>
      <c r="B1" t="s">
        <v>75</v>
      </c>
      <c r="C1" t="s">
        <v>73</v>
      </c>
      <c r="D1" t="s">
        <v>74</v>
      </c>
      <c r="E1" t="s">
        <v>76</v>
      </c>
      <c r="F1" t="s">
        <v>30</v>
      </c>
      <c r="G1" t="s">
        <v>105</v>
      </c>
      <c r="H1" s="2" t="s">
        <v>21</v>
      </c>
      <c r="I1" s="2" t="s">
        <v>22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79</v>
      </c>
      <c r="AA1" s="1" t="s">
        <v>82</v>
      </c>
      <c r="AB1" s="1" t="s">
        <v>83</v>
      </c>
      <c r="AC1" s="1" t="s">
        <v>80</v>
      </c>
      <c r="AD1" s="1" t="s">
        <v>81</v>
      </c>
    </row>
    <row r="2" spans="1:30" x14ac:dyDescent="0.2">
      <c r="A2" t="s">
        <v>3</v>
      </c>
      <c r="B2" t="s">
        <v>31</v>
      </c>
      <c r="C2" t="s">
        <v>26</v>
      </c>
      <c r="D2" t="s">
        <v>27</v>
      </c>
      <c r="E2" t="s">
        <v>77</v>
      </c>
      <c r="F2">
        <v>1</v>
      </c>
      <c r="G2">
        <v>1.0448</v>
      </c>
      <c r="H2" s="2">
        <v>8.0000000000000002E-3</v>
      </c>
      <c r="I2" s="2">
        <v>4</v>
      </c>
      <c r="J2" s="1">
        <v>6.5313603235332396</v>
      </c>
      <c r="K2" s="1">
        <v>20.692472582073101</v>
      </c>
      <c r="L2" s="1">
        <v>14.0037923660526</v>
      </c>
      <c r="M2" s="1">
        <v>15.674828938467099</v>
      </c>
      <c r="N2" s="1">
        <v>229.143941892611</v>
      </c>
      <c r="O2" s="1">
        <v>218.04873474806001</v>
      </c>
      <c r="P2" s="1">
        <v>10.176455978711701</v>
      </c>
      <c r="Q2" s="1">
        <v>10.8053567378038</v>
      </c>
      <c r="R2" s="1">
        <v>3.2511772747976302</v>
      </c>
      <c r="S2" s="1">
        <v>1.4518152491729399</v>
      </c>
      <c r="T2" s="1">
        <v>1.44438268618832</v>
      </c>
      <c r="U2" s="1">
        <f>J2*I2*H2/G2</f>
        <v>0.20004166381418806</v>
      </c>
      <c r="V2" s="1">
        <f>L2*I2*H2/G2</f>
        <v>0.42890635118078413</v>
      </c>
      <c r="W2" s="1">
        <f>N2*I2*H2/G2</f>
        <v>7.0181911758839517</v>
      </c>
      <c r="X2" s="1">
        <f>P2*I2*H2/G2</f>
        <v>0.31168318464660649</v>
      </c>
      <c r="Y2" s="1">
        <f>S2*I2*H2/G2</f>
        <v>4.4466010694423887E-2</v>
      </c>
      <c r="Z2" s="1">
        <f>(K2-J2)*I2*H2*0.011399/G2</f>
        <v>4.9440281358375474E-3</v>
      </c>
      <c r="AA2" s="1">
        <f>(M2-L2)*I2*H2*0.3083/G2</f>
        <v>1.5778884388220216E-2</v>
      </c>
      <c r="AB2" s="1">
        <f>((O2-1.6362)/0.9224-N2)*I2*H2*0.1875/G2</f>
        <v>3.1441565811212935E-2</v>
      </c>
      <c r="AC2" s="1">
        <f>(Q2-P2)*I2*H2*0.1222/G2</f>
        <v>2.3538031473523597E-3</v>
      </c>
      <c r="AD2" s="1">
        <f>(R2-S2)*I2*H2*0.241/G2</f>
        <v>1.3281661506142432E-2</v>
      </c>
    </row>
    <row r="3" spans="1:30" x14ac:dyDescent="0.2">
      <c r="A3" t="s">
        <v>32</v>
      </c>
      <c r="B3" t="s">
        <v>31</v>
      </c>
      <c r="C3" t="s">
        <v>26</v>
      </c>
      <c r="D3" t="s">
        <v>27</v>
      </c>
      <c r="E3" t="s">
        <v>78</v>
      </c>
      <c r="F3">
        <v>2</v>
      </c>
      <c r="G3">
        <v>1.2302</v>
      </c>
      <c r="H3" s="2">
        <v>0.01</v>
      </c>
      <c r="I3" s="2">
        <v>5</v>
      </c>
      <c r="J3" s="1">
        <v>5.8368873786220297</v>
      </c>
      <c r="K3" s="1">
        <v>16.845426340229</v>
      </c>
      <c r="L3" s="1">
        <v>10.177415401740699</v>
      </c>
      <c r="M3" s="1">
        <v>12.1769481094996</v>
      </c>
      <c r="N3" s="1">
        <v>205.21190806881</v>
      </c>
      <c r="O3" s="1">
        <v>197.34235864497501</v>
      </c>
      <c r="P3" s="1">
        <v>6.9422292851594998</v>
      </c>
      <c r="Q3" s="1">
        <v>7.6503925075748898</v>
      </c>
      <c r="R3" s="1">
        <v>2.1745384531927301</v>
      </c>
      <c r="S3" s="1">
        <v>0.94677288022333805</v>
      </c>
      <c r="T3" s="1">
        <v>0.89432767876791697</v>
      </c>
      <c r="U3" s="1">
        <f t="shared" ref="U3:U45" si="0">J3*I3*H3/G3</f>
        <v>0.23723327014396156</v>
      </c>
      <c r="V3" s="1">
        <f t="shared" ref="V3:V45" si="1">L3*I3*H3/G3</f>
        <v>0.41364881327185415</v>
      </c>
      <c r="W3" s="1">
        <f t="shared" ref="W3:W45" si="2">N3*I3*H3/G3</f>
        <v>8.3405912887664613</v>
      </c>
      <c r="X3" s="1">
        <f t="shared" ref="X3:X45" si="3">P3*I3*H3/G3</f>
        <v>0.28215856304501302</v>
      </c>
      <c r="Y3" s="1">
        <f t="shared" ref="Y3:Y45" si="4">S3*I3*H3/G3</f>
        <v>3.8480445465100724E-2</v>
      </c>
      <c r="Z3" s="1">
        <f t="shared" ref="Z3:Z45" si="5">(K3-J3)*I3*H3*0.011399/G3</f>
        <v>5.1002412462753154E-3</v>
      </c>
      <c r="AA3" s="1">
        <f t="shared" ref="AA3:AA45" si="6">(M3-L3)*I3*H3*0.3083/G3</f>
        <v>2.5055110299222451E-2</v>
      </c>
      <c r="AB3" s="1">
        <f t="shared" ref="AB3:AB45" si="7">((O3-0.2251)/0.9387-N3)*I3*H3*0.1875/G3</f>
        <v>3.6409586111691018E-2</v>
      </c>
      <c r="AC3" s="1">
        <f t="shared" ref="AC3:AC45" si="8">(Q3-P3)*I3*H3*0.1222/G3</f>
        <v>3.5172145089888088E-3</v>
      </c>
      <c r="AD3" s="1">
        <f t="shared" ref="AD3:AD45" si="9">(R3-S3)*I3*H3*0.241/G3</f>
        <v>1.2026154409267744E-2</v>
      </c>
    </row>
    <row r="4" spans="1:30" x14ac:dyDescent="0.2">
      <c r="A4" t="s">
        <v>33</v>
      </c>
      <c r="B4" t="s">
        <v>31</v>
      </c>
      <c r="C4" t="s">
        <v>26</v>
      </c>
      <c r="D4" t="s">
        <v>27</v>
      </c>
      <c r="E4" t="s">
        <v>78</v>
      </c>
      <c r="F4">
        <v>3</v>
      </c>
      <c r="G4">
        <v>1.2637</v>
      </c>
      <c r="H4" s="2">
        <v>0.01</v>
      </c>
      <c r="I4" s="2">
        <v>5</v>
      </c>
      <c r="J4" s="1">
        <v>6.0117869207912999</v>
      </c>
      <c r="K4" s="1">
        <v>30.2103940142383</v>
      </c>
      <c r="L4" s="1">
        <v>15.033596783031101</v>
      </c>
      <c r="M4" s="1">
        <v>15.8737233895408</v>
      </c>
      <c r="N4" s="1">
        <v>244.81179671935999</v>
      </c>
      <c r="O4" s="1">
        <v>238.63140353002299</v>
      </c>
      <c r="P4" s="1">
        <v>14.8581361110255</v>
      </c>
      <c r="Q4" s="1">
        <v>15.8563749458191</v>
      </c>
      <c r="R4" s="1">
        <v>4.3072056010251902</v>
      </c>
      <c r="S4" s="1">
        <v>1.2253122672966701</v>
      </c>
      <c r="T4" s="1">
        <v>1.1669762104539501</v>
      </c>
      <c r="U4" s="1">
        <f t="shared" si="0"/>
        <v>0.23786448210775105</v>
      </c>
      <c r="V4" s="1">
        <f t="shared" si="1"/>
        <v>0.59482459377348662</v>
      </c>
      <c r="W4" s="1">
        <f t="shared" si="2"/>
        <v>9.6863099121373732</v>
      </c>
      <c r="X4" s="1">
        <f t="shared" si="3"/>
        <v>0.58788225492701984</v>
      </c>
      <c r="Y4" s="1">
        <f t="shared" si="4"/>
        <v>4.8481137425681331E-2</v>
      </c>
      <c r="Z4" s="1">
        <f t="shared" si="5"/>
        <v>1.0913979673110799E-2</v>
      </c>
      <c r="AA4" s="1">
        <f t="shared" si="6"/>
        <v>1.0248121895502898E-2</v>
      </c>
      <c r="AB4" s="1">
        <f t="shared" si="7"/>
        <v>6.7978746084174951E-2</v>
      </c>
      <c r="AC4" s="1">
        <f t="shared" si="8"/>
        <v>4.8264930605277341E-3</v>
      </c>
      <c r="AD4" s="1">
        <f t="shared" si="9"/>
        <v>2.9387366203552003E-2</v>
      </c>
    </row>
    <row r="5" spans="1:30" x14ac:dyDescent="0.2">
      <c r="A5" t="s">
        <v>1</v>
      </c>
      <c r="B5" t="s">
        <v>31</v>
      </c>
      <c r="C5" t="s">
        <v>24</v>
      </c>
      <c r="D5" t="s">
        <v>27</v>
      </c>
      <c r="E5" t="s">
        <v>77</v>
      </c>
      <c r="F5">
        <v>1</v>
      </c>
      <c r="G5">
        <v>0.20069999999999999</v>
      </c>
      <c r="H5" s="2">
        <v>8.0000000000000002E-3</v>
      </c>
      <c r="I5" s="2">
        <v>4</v>
      </c>
      <c r="J5" s="1">
        <v>4.1717878334977296</v>
      </c>
      <c r="K5" s="1">
        <v>6.0833753436125999</v>
      </c>
      <c r="L5" s="1">
        <v>4.1637388793887604</v>
      </c>
      <c r="M5" s="1">
        <v>4.6345861450864803</v>
      </c>
      <c r="N5" s="1">
        <v>25.405921923524399</v>
      </c>
      <c r="O5" s="1">
        <v>24.047576267163201</v>
      </c>
      <c r="P5" s="1">
        <v>0.34098821892853398</v>
      </c>
      <c r="Q5" s="1">
        <v>0.41166319290617498</v>
      </c>
      <c r="R5" s="1">
        <v>0.848688541286309</v>
      </c>
      <c r="S5" s="1">
        <v>0.39658220687569001</v>
      </c>
      <c r="T5" s="1">
        <v>0.39886108377309898</v>
      </c>
      <c r="U5" s="1">
        <f t="shared" si="0"/>
        <v>0.66515800035838246</v>
      </c>
      <c r="V5" s="1">
        <f t="shared" si="1"/>
        <v>0.66387465939432166</v>
      </c>
      <c r="W5" s="1">
        <f t="shared" si="2"/>
        <v>4.0507698134169452</v>
      </c>
      <c r="X5" s="1">
        <f t="shared" si="3"/>
        <v>5.4367827631853959E-2</v>
      </c>
      <c r="Y5" s="1">
        <f t="shared" si="4"/>
        <v>6.3231841654320289E-2</v>
      </c>
      <c r="Z5" s="1">
        <f t="shared" si="5"/>
        <v>3.4742698200776329E-3</v>
      </c>
      <c r="AA5" s="1">
        <f t="shared" si="6"/>
        <v>2.3144946609204912E-2</v>
      </c>
      <c r="AB5" s="1">
        <v>0</v>
      </c>
      <c r="AC5" s="1">
        <f t="shared" si="8"/>
        <v>1.3770175298563397E-3</v>
      </c>
      <c r="AD5" s="1">
        <f t="shared" si="9"/>
        <v>1.7372416796087163E-2</v>
      </c>
    </row>
    <row r="6" spans="1:30" x14ac:dyDescent="0.2">
      <c r="A6" t="s">
        <v>37</v>
      </c>
      <c r="B6" t="s">
        <v>31</v>
      </c>
      <c r="C6" t="s">
        <v>24</v>
      </c>
      <c r="D6" t="s">
        <v>27</v>
      </c>
      <c r="E6" t="s">
        <v>78</v>
      </c>
      <c r="F6">
        <v>2</v>
      </c>
      <c r="G6">
        <v>0.1837</v>
      </c>
      <c r="H6" s="2">
        <v>0.01</v>
      </c>
      <c r="I6" s="2">
        <v>1</v>
      </c>
      <c r="J6" s="1">
        <v>12.461800634350899</v>
      </c>
      <c r="K6" s="1">
        <v>19.237513648847301</v>
      </c>
      <c r="L6" s="1">
        <v>10.2068821123194</v>
      </c>
      <c r="M6" s="1">
        <v>12.013675154034599</v>
      </c>
      <c r="N6" s="1">
        <v>83.605623259823005</v>
      </c>
      <c r="O6" s="1">
        <v>82.458930370048193</v>
      </c>
      <c r="P6" s="1">
        <v>1.48943692871049</v>
      </c>
      <c r="Q6" s="1">
        <v>1.73746476868946</v>
      </c>
      <c r="R6" s="1">
        <v>2.5724211200401101</v>
      </c>
      <c r="S6" s="1">
        <v>1.32235100111576</v>
      </c>
      <c r="T6" s="1">
        <v>1.2500208960018599</v>
      </c>
      <c r="U6" s="1">
        <f t="shared" si="0"/>
        <v>0.67837782440669014</v>
      </c>
      <c r="V6" s="1">
        <f t="shared" si="1"/>
        <v>0.55562776877078934</v>
      </c>
      <c r="W6" s="1">
        <f t="shared" si="2"/>
        <v>4.5512043146338055</v>
      </c>
      <c r="X6" s="1">
        <f t="shared" si="3"/>
        <v>8.1079854584131195E-2</v>
      </c>
      <c r="Y6" s="1">
        <f t="shared" si="4"/>
        <v>7.1984267888718562E-2</v>
      </c>
      <c r="Z6" s="1">
        <f t="shared" si="5"/>
        <v>4.2044829968559874E-3</v>
      </c>
      <c r="AA6" s="1">
        <f t="shared" si="6"/>
        <v>3.0323042719694937E-2</v>
      </c>
      <c r="AB6" s="1">
        <f t="shared" si="7"/>
        <v>4.081038454830449E-2</v>
      </c>
      <c r="AC6" s="1">
        <f t="shared" si="8"/>
        <v>1.6499184564741495E-3</v>
      </c>
      <c r="AD6" s="1">
        <f t="shared" si="9"/>
        <v>1.6399940046857291E-2</v>
      </c>
    </row>
    <row r="7" spans="1:30" x14ac:dyDescent="0.2">
      <c r="A7" t="s">
        <v>38</v>
      </c>
      <c r="B7" t="s">
        <v>31</v>
      </c>
      <c r="C7" t="s">
        <v>24</v>
      </c>
      <c r="D7" t="s">
        <v>27</v>
      </c>
      <c r="E7" t="s">
        <v>78</v>
      </c>
      <c r="F7">
        <v>3</v>
      </c>
      <c r="G7">
        <v>0.1779</v>
      </c>
      <c r="H7" s="2">
        <v>0.01</v>
      </c>
      <c r="I7" s="2">
        <v>1</v>
      </c>
      <c r="J7" s="1">
        <v>13.415497946470699</v>
      </c>
      <c r="K7" s="1">
        <v>20.492711425830599</v>
      </c>
      <c r="L7" s="1">
        <v>8.6726072985019407</v>
      </c>
      <c r="M7" s="1">
        <v>10.784206802538201</v>
      </c>
      <c r="N7" s="1">
        <v>74.970529187702795</v>
      </c>
      <c r="O7" s="1">
        <v>75.152262828469205</v>
      </c>
      <c r="P7" s="1">
        <v>1.3841428805364699</v>
      </c>
      <c r="Q7" s="1">
        <v>1.7373941652332701</v>
      </c>
      <c r="R7" s="1">
        <v>3.4393139238866102</v>
      </c>
      <c r="S7" s="1">
        <v>1.3148095165484199</v>
      </c>
      <c r="T7" s="1">
        <v>1.2339170842034599</v>
      </c>
      <c r="U7" s="1">
        <f t="shared" si="0"/>
        <v>0.75410331346097248</v>
      </c>
      <c r="V7" s="1">
        <f t="shared" si="1"/>
        <v>0.48749900497481402</v>
      </c>
      <c r="W7" s="1">
        <f t="shared" si="2"/>
        <v>4.2141950077404609</v>
      </c>
      <c r="X7" s="1">
        <f t="shared" si="3"/>
        <v>7.780454640452332E-2</v>
      </c>
      <c r="Y7" s="1">
        <f t="shared" si="4"/>
        <v>7.3907224089287238E-2</v>
      </c>
      <c r="Z7" s="1">
        <f t="shared" si="5"/>
        <v>4.53474741153589E-3</v>
      </c>
      <c r="AA7" s="1">
        <f t="shared" si="6"/>
        <v>3.6593936317840296E-2</v>
      </c>
      <c r="AB7" s="1">
        <f t="shared" si="7"/>
        <v>5.1113069705544696E-2</v>
      </c>
      <c r="AC7" s="1">
        <f t="shared" si="8"/>
        <v>2.4264928043816174E-3</v>
      </c>
      <c r="AD7" s="1">
        <f t="shared" si="9"/>
        <v>2.8780526260174473E-2</v>
      </c>
    </row>
    <row r="8" spans="1:30" x14ac:dyDescent="0.2">
      <c r="A8" t="s">
        <v>2</v>
      </c>
      <c r="B8" t="s">
        <v>31</v>
      </c>
      <c r="C8" t="s">
        <v>25</v>
      </c>
      <c r="D8" t="s">
        <v>27</v>
      </c>
      <c r="E8" t="s">
        <v>77</v>
      </c>
      <c r="F8">
        <v>1</v>
      </c>
      <c r="G8">
        <v>0.36859999999999998</v>
      </c>
      <c r="H8" s="2">
        <v>1.4E-2</v>
      </c>
      <c r="I8" s="2">
        <v>1</v>
      </c>
      <c r="J8" s="1">
        <v>15.359086092242199</v>
      </c>
      <c r="K8" s="1">
        <v>63.228056145094101</v>
      </c>
      <c r="L8" s="1">
        <v>22.032377842637501</v>
      </c>
      <c r="M8" s="1">
        <v>24.8715316609767</v>
      </c>
      <c r="N8" s="1">
        <v>1465.19095284169</v>
      </c>
      <c r="O8" s="1">
        <v>1367.9491629411</v>
      </c>
      <c r="P8" s="1">
        <v>51.138020437921803</v>
      </c>
      <c r="Q8" s="1">
        <v>52.0398946298805</v>
      </c>
      <c r="R8" s="1">
        <v>22.2396645147459</v>
      </c>
      <c r="S8" s="1">
        <v>11.7876885575063</v>
      </c>
      <c r="T8" s="1">
        <v>12.0324596914644</v>
      </c>
      <c r="U8" s="1">
        <f t="shared" si="0"/>
        <v>0.58336192428483669</v>
      </c>
      <c r="V8" s="1">
        <f t="shared" si="1"/>
        <v>0.8368239006970295</v>
      </c>
      <c r="W8" s="1">
        <f t="shared" si="2"/>
        <v>55.650226098165113</v>
      </c>
      <c r="X8" s="1">
        <f t="shared" si="3"/>
        <v>1.9423013731169432</v>
      </c>
      <c r="Y8" s="1">
        <f t="shared" si="4"/>
        <v>0.44771470375769995</v>
      </c>
      <c r="Z8" s="1">
        <f t="shared" si="5"/>
        <v>2.0724952400581722E-2</v>
      </c>
      <c r="AA8" s="1">
        <f t="shared" si="6"/>
        <v>3.3245674744209579E-2</v>
      </c>
      <c r="AB8" s="1">
        <f>((O8-1.6362)/0.9224-N8)*I8*H8*0.1875/G8</f>
        <v>0.11442664140681953</v>
      </c>
      <c r="AC8" s="1">
        <f t="shared" si="8"/>
        <v>4.1859098415706437E-3</v>
      </c>
      <c r="AD8" s="1">
        <f t="shared" si="9"/>
        <v>9.5672726206528516E-2</v>
      </c>
    </row>
    <row r="9" spans="1:30" x14ac:dyDescent="0.2">
      <c r="A9" t="s">
        <v>42</v>
      </c>
      <c r="B9" t="s">
        <v>31</v>
      </c>
      <c r="C9" t="s">
        <v>25</v>
      </c>
      <c r="D9" t="s">
        <v>27</v>
      </c>
      <c r="E9" t="s">
        <v>78</v>
      </c>
      <c r="F9">
        <v>2</v>
      </c>
      <c r="G9">
        <v>0.46439999999999998</v>
      </c>
      <c r="H9" s="2">
        <v>0.01</v>
      </c>
      <c r="I9" s="2">
        <v>1</v>
      </c>
      <c r="J9" s="1">
        <v>27.376829785717099</v>
      </c>
      <c r="K9" s="1">
        <v>97.301168399152303</v>
      </c>
      <c r="L9" s="1">
        <v>20.3596896066875</v>
      </c>
      <c r="M9" s="1">
        <v>22.831517361526501</v>
      </c>
      <c r="N9" s="1">
        <v>2564.5044803595001</v>
      </c>
      <c r="O9" s="1">
        <v>2471.20981895061</v>
      </c>
      <c r="P9" s="1">
        <v>109.123289063382</v>
      </c>
      <c r="Q9" s="1">
        <v>112.123790013982</v>
      </c>
      <c r="R9" s="1">
        <v>30.9499914747433</v>
      </c>
      <c r="S9" s="1">
        <v>14.071586078589201</v>
      </c>
      <c r="T9" s="1">
        <v>13.4281091595383</v>
      </c>
      <c r="U9" s="1">
        <f t="shared" si="0"/>
        <v>0.5895096853082924</v>
      </c>
      <c r="V9" s="1">
        <f t="shared" si="1"/>
        <v>0.43840847559619944</v>
      </c>
      <c r="W9" s="1">
        <f t="shared" si="2"/>
        <v>55.221888035303628</v>
      </c>
      <c r="X9" s="1">
        <f t="shared" si="3"/>
        <v>2.3497693596766149</v>
      </c>
      <c r="Y9" s="1">
        <f t="shared" si="4"/>
        <v>0.30300572951311805</v>
      </c>
      <c r="Z9" s="1">
        <f t="shared" si="5"/>
        <v>1.7163383631665544E-2</v>
      </c>
      <c r="AA9" s="1">
        <f t="shared" si="6"/>
        <v>1.6409657554196041E-2</v>
      </c>
      <c r="AB9" s="1">
        <f t="shared" si="7"/>
        <v>0.27391451963513935</v>
      </c>
      <c r="AC9" s="1">
        <f t="shared" si="8"/>
        <v>7.8953750250499565E-3</v>
      </c>
      <c r="AD9" s="1">
        <f t="shared" si="9"/>
        <v>8.7590346694081361E-2</v>
      </c>
    </row>
    <row r="10" spans="1:30" x14ac:dyDescent="0.2">
      <c r="A10" t="s">
        <v>43</v>
      </c>
      <c r="B10" t="s">
        <v>31</v>
      </c>
      <c r="C10" t="s">
        <v>25</v>
      </c>
      <c r="D10" t="s">
        <v>27</v>
      </c>
      <c r="E10" t="s">
        <v>78</v>
      </c>
      <c r="F10">
        <v>3</v>
      </c>
      <c r="G10">
        <v>0.43690000000000001</v>
      </c>
      <c r="H10" s="2">
        <v>0.01</v>
      </c>
      <c r="I10" s="2">
        <v>1</v>
      </c>
      <c r="J10" s="1">
        <v>11.2745922080783</v>
      </c>
      <c r="K10" s="1">
        <v>118.94203133130701</v>
      </c>
      <c r="L10" s="1">
        <v>26.952453267728298</v>
      </c>
      <c r="M10" s="1">
        <v>30.455728381398401</v>
      </c>
      <c r="N10" s="1">
        <v>773.47230803701495</v>
      </c>
      <c r="O10" s="1">
        <v>745.21114097580596</v>
      </c>
      <c r="P10" s="1">
        <v>78.086316023934899</v>
      </c>
      <c r="Q10" s="1">
        <v>81.279745362940403</v>
      </c>
      <c r="R10" s="1">
        <v>21.236600611848601</v>
      </c>
      <c r="S10" s="1">
        <v>5.2638753545969399</v>
      </c>
      <c r="T10" s="1">
        <v>4.9077387809674402</v>
      </c>
      <c r="U10" s="1">
        <f t="shared" si="0"/>
        <v>0.25805887406908445</v>
      </c>
      <c r="V10" s="1">
        <f t="shared" si="1"/>
        <v>0.61690211187292965</v>
      </c>
      <c r="W10" s="1">
        <f t="shared" si="2"/>
        <v>17.703646327237696</v>
      </c>
      <c r="X10" s="1">
        <f t="shared" si="3"/>
        <v>1.7872812090623689</v>
      </c>
      <c r="Y10" s="1">
        <f t="shared" si="4"/>
        <v>0.12048238394591301</v>
      </c>
      <c r="Z10" s="1">
        <f t="shared" si="5"/>
        <v>2.8091122420821332E-2</v>
      </c>
      <c r="AA10" s="1">
        <f t="shared" si="6"/>
        <v>2.4720982319626755E-2</v>
      </c>
      <c r="AB10" s="1">
        <f t="shared" si="7"/>
        <v>8.6534168383764126E-2</v>
      </c>
      <c r="AC10" s="1">
        <f t="shared" si="8"/>
        <v>8.9319538847899439E-3</v>
      </c>
      <c r="AD10" s="1">
        <f t="shared" si="9"/>
        <v>8.8107731448790333E-2</v>
      </c>
    </row>
    <row r="11" spans="1:30" x14ac:dyDescent="0.2">
      <c r="A11" t="s">
        <v>0</v>
      </c>
      <c r="B11" t="s">
        <v>31</v>
      </c>
      <c r="C11" t="s">
        <v>23</v>
      </c>
      <c r="D11" t="s">
        <v>27</v>
      </c>
      <c r="E11" t="s">
        <v>77</v>
      </c>
      <c r="F11">
        <v>1</v>
      </c>
      <c r="G11">
        <v>1.6141000000000001</v>
      </c>
      <c r="H11" s="2">
        <v>1.4E-2</v>
      </c>
      <c r="I11" s="2">
        <v>1</v>
      </c>
      <c r="J11" s="1">
        <v>2.7276443406478701</v>
      </c>
      <c r="K11" s="1">
        <v>4.2128331150635301</v>
      </c>
      <c r="L11" s="1">
        <v>1.2565646872493299</v>
      </c>
      <c r="M11" s="1">
        <v>1.33831884908938</v>
      </c>
      <c r="N11" s="1">
        <v>9.2523137338759405</v>
      </c>
      <c r="O11" s="1">
        <v>8.9044755494253796</v>
      </c>
      <c r="P11" s="1">
        <v>0.11877275789738299</v>
      </c>
      <c r="Q11" s="1">
        <v>0.138393757555095</v>
      </c>
      <c r="R11" s="1">
        <v>1.2456698890381701</v>
      </c>
      <c r="S11" s="1">
        <v>0.90360095531271301</v>
      </c>
      <c r="T11" s="1">
        <v>0.91262683752561702</v>
      </c>
      <c r="U11" s="1">
        <f t="shared" si="0"/>
        <v>2.3658398345251335E-2</v>
      </c>
      <c r="V11" s="1">
        <f t="shared" si="1"/>
        <v>1.0898894505601026E-2</v>
      </c>
      <c r="W11" s="1">
        <f t="shared" si="2"/>
        <v>8.0250537311358131E-2</v>
      </c>
      <c r="X11" s="1">
        <f t="shared" si="3"/>
        <v>1.0301831426574326E-3</v>
      </c>
      <c r="Y11" s="1">
        <f t="shared" si="4"/>
        <v>7.8374409109584174E-3</v>
      </c>
      <c r="Z11" s="1">
        <f t="shared" si="5"/>
        <v>1.4684055247747815E-4</v>
      </c>
      <c r="AA11" s="1">
        <f t="shared" si="6"/>
        <v>2.1861552155010494E-4</v>
      </c>
      <c r="AB11" s="1">
        <v>0</v>
      </c>
      <c r="AC11" s="1">
        <f t="shared" si="8"/>
        <v>2.079648486116951E-5</v>
      </c>
      <c r="AD11" s="1">
        <f t="shared" si="9"/>
        <v>7.1503660392149945E-4</v>
      </c>
    </row>
    <row r="12" spans="1:30" x14ac:dyDescent="0.2">
      <c r="A12" t="s">
        <v>34</v>
      </c>
      <c r="B12" t="s">
        <v>47</v>
      </c>
      <c r="C12" t="s">
        <v>26</v>
      </c>
      <c r="D12" t="s">
        <v>27</v>
      </c>
      <c r="E12" t="s">
        <v>78</v>
      </c>
      <c r="F12">
        <v>1</v>
      </c>
      <c r="G12">
        <v>0.68130000000000002</v>
      </c>
      <c r="H12" s="2">
        <v>8.0000000000000002E-3</v>
      </c>
      <c r="I12" s="2">
        <v>4</v>
      </c>
      <c r="J12" s="1">
        <v>5.6741077075234001</v>
      </c>
      <c r="K12" s="1">
        <v>11.1615545639898</v>
      </c>
      <c r="L12" s="1">
        <v>7.1025374809653599</v>
      </c>
      <c r="M12" s="1">
        <v>8.6928448215932903</v>
      </c>
      <c r="N12" s="1">
        <v>85.945989341758604</v>
      </c>
      <c r="O12" s="1">
        <v>81.942911833794597</v>
      </c>
      <c r="P12" s="1">
        <v>1.22856447105011</v>
      </c>
      <c r="Q12" s="1">
        <v>1.56739561609867</v>
      </c>
      <c r="R12" s="1">
        <v>2.5945024662005598</v>
      </c>
      <c r="S12" s="1">
        <v>1.15116400252902</v>
      </c>
      <c r="T12" s="1">
        <v>1.0784693030229899</v>
      </c>
      <c r="U12" s="1">
        <f t="shared" si="0"/>
        <v>0.26650733398025656</v>
      </c>
      <c r="V12" s="1">
        <f t="shared" si="1"/>
        <v>0.33359929457051452</v>
      </c>
      <c r="W12" s="1">
        <f t="shared" si="2"/>
        <v>4.0367997342378912</v>
      </c>
      <c r="X12" s="1">
        <f t="shared" si="3"/>
        <v>5.770448124703291E-2</v>
      </c>
      <c r="Y12" s="1">
        <f t="shared" si="4"/>
        <v>5.4069056334843157E-2</v>
      </c>
      <c r="Z12" s="1">
        <f t="shared" si="5"/>
        <v>2.9379788858645756E-3</v>
      </c>
      <c r="AA12" s="1">
        <f t="shared" si="6"/>
        <v>2.3028527960808617E-2</v>
      </c>
      <c r="AB12" s="1">
        <f t="shared" si="7"/>
        <v>9.7599928800207805E-3</v>
      </c>
      <c r="AC12" s="1">
        <f t="shared" si="8"/>
        <v>1.9447604720356508E-3</v>
      </c>
      <c r="AD12" s="1">
        <f t="shared" si="9"/>
        <v>1.6337921960714687E-2</v>
      </c>
    </row>
    <row r="13" spans="1:30" x14ac:dyDescent="0.2">
      <c r="A13" t="s">
        <v>35</v>
      </c>
      <c r="B13" t="s">
        <v>47</v>
      </c>
      <c r="C13" t="s">
        <v>26</v>
      </c>
      <c r="D13" t="s">
        <v>27</v>
      </c>
      <c r="E13" t="s">
        <v>78</v>
      </c>
      <c r="F13">
        <v>2</v>
      </c>
      <c r="G13">
        <v>0.88580000000000003</v>
      </c>
      <c r="H13" s="2">
        <v>8.0000000000000002E-3</v>
      </c>
      <c r="I13" s="2">
        <v>4</v>
      </c>
      <c r="J13" s="1">
        <v>8.2534915261682702</v>
      </c>
      <c r="K13" s="1">
        <v>14.9174356904717</v>
      </c>
      <c r="L13" s="1">
        <v>8.4271676337209502</v>
      </c>
      <c r="M13" s="1">
        <v>10.5190447274838</v>
      </c>
      <c r="N13" s="1">
        <v>163.44041263088599</v>
      </c>
      <c r="O13" s="1">
        <v>155.39240238055501</v>
      </c>
      <c r="P13" s="1">
        <v>0.87375900371963</v>
      </c>
      <c r="Q13" s="1">
        <v>1.3217577442539099</v>
      </c>
      <c r="R13" s="1">
        <v>2.51433958530288</v>
      </c>
      <c r="S13" s="1">
        <v>1.1016131971090699</v>
      </c>
      <c r="T13" s="1">
        <v>1.0527934200700699</v>
      </c>
      <c r="U13" s="1">
        <f t="shared" si="0"/>
        <v>0.29816180722215468</v>
      </c>
      <c r="V13" s="1">
        <f t="shared" si="1"/>
        <v>0.30443594973929827</v>
      </c>
      <c r="W13" s="1">
        <f t="shared" si="2"/>
        <v>5.9043725493207848</v>
      </c>
      <c r="X13" s="1">
        <f t="shared" si="3"/>
        <v>3.1565012552526708E-2</v>
      </c>
      <c r="Y13" s="1">
        <f t="shared" si="4"/>
        <v>3.9796367472894827E-2</v>
      </c>
      <c r="Z13" s="1">
        <f t="shared" si="5"/>
        <v>2.7441788043854522E-3</v>
      </c>
      <c r="AA13" s="1">
        <f t="shared" si="6"/>
        <v>2.3298287035704194E-2</v>
      </c>
      <c r="AB13" s="1">
        <f t="shared" si="7"/>
        <v>1.2597373985402316E-2</v>
      </c>
      <c r="AC13" s="1">
        <f t="shared" si="8"/>
        <v>1.9777085967320482E-3</v>
      </c>
      <c r="AD13" s="1">
        <f t="shared" si="9"/>
        <v>1.2299555097934818E-2</v>
      </c>
    </row>
    <row r="14" spans="1:30" x14ac:dyDescent="0.2">
      <c r="A14" t="s">
        <v>36</v>
      </c>
      <c r="B14" t="s">
        <v>47</v>
      </c>
      <c r="C14" t="s">
        <v>26</v>
      </c>
      <c r="D14" t="s">
        <v>27</v>
      </c>
      <c r="E14" t="s">
        <v>78</v>
      </c>
      <c r="F14">
        <v>3</v>
      </c>
      <c r="G14">
        <v>0.66400000000000003</v>
      </c>
      <c r="H14" s="2">
        <v>8.0000000000000002E-3</v>
      </c>
      <c r="I14" s="2">
        <v>4</v>
      </c>
      <c r="J14" s="1">
        <v>3.8300864999012201</v>
      </c>
      <c r="K14" s="1">
        <v>9.4055376887002602</v>
      </c>
      <c r="L14" s="1">
        <v>7.1185736026542097</v>
      </c>
      <c r="M14" s="1">
        <v>8.3098507590320292</v>
      </c>
      <c r="N14" s="1">
        <v>135.954362749832</v>
      </c>
      <c r="O14" s="1">
        <v>129.069842017323</v>
      </c>
      <c r="P14" s="1">
        <v>1.2521920325164799</v>
      </c>
      <c r="Q14" s="1">
        <v>1.5347989108986999</v>
      </c>
      <c r="R14" s="1">
        <v>2.6717181393239602</v>
      </c>
      <c r="S14" s="1">
        <v>1.3860658613113299</v>
      </c>
      <c r="T14" s="1">
        <v>1.34089079195993</v>
      </c>
      <c r="U14" s="1">
        <f t="shared" si="0"/>
        <v>0.18458248192295035</v>
      </c>
      <c r="V14" s="1">
        <f t="shared" si="1"/>
        <v>0.34306378807972093</v>
      </c>
      <c r="W14" s="1">
        <f t="shared" si="2"/>
        <v>6.5520174819196138</v>
      </c>
      <c r="X14" s="1">
        <f t="shared" si="3"/>
        <v>6.0346603976697832E-2</v>
      </c>
      <c r="Y14" s="1">
        <f t="shared" si="4"/>
        <v>6.6798354761991793E-2</v>
      </c>
      <c r="Z14" s="1">
        <f t="shared" si="5"/>
        <v>3.062870751861217E-3</v>
      </c>
      <c r="AA14" s="1">
        <f t="shared" si="6"/>
        <v>1.7699795051146109E-2</v>
      </c>
      <c r="AB14" s="1">
        <f t="shared" si="7"/>
        <v>1.1786183122284919E-2</v>
      </c>
      <c r="AC14" s="1">
        <f t="shared" si="8"/>
        <v>1.6643161705208328E-3</v>
      </c>
      <c r="AD14" s="1">
        <f t="shared" si="9"/>
        <v>1.4932154168725006E-2</v>
      </c>
    </row>
    <row r="15" spans="1:30" x14ac:dyDescent="0.2">
      <c r="A15" t="s">
        <v>39</v>
      </c>
      <c r="B15" t="s">
        <v>47</v>
      </c>
      <c r="C15" t="s">
        <v>24</v>
      </c>
      <c r="D15" t="s">
        <v>27</v>
      </c>
      <c r="E15" t="s">
        <v>78</v>
      </c>
      <c r="F15">
        <v>1</v>
      </c>
      <c r="G15">
        <v>0.14000000000000001</v>
      </c>
      <c r="H15" s="2">
        <v>0.01</v>
      </c>
      <c r="I15" s="2">
        <v>1</v>
      </c>
      <c r="J15" s="1">
        <v>6.2408030427110504</v>
      </c>
      <c r="K15" s="1">
        <v>9.0747066719547096</v>
      </c>
      <c r="L15" s="1">
        <v>7.17333791360491</v>
      </c>
      <c r="M15" s="1">
        <v>8.1222032614982798</v>
      </c>
      <c r="N15" s="1">
        <v>40.741722426230901</v>
      </c>
      <c r="O15" s="1">
        <v>39.403877179920201</v>
      </c>
      <c r="P15" s="1">
        <v>0.38623576440837998</v>
      </c>
      <c r="Q15" s="1">
        <v>0.50396101845656405</v>
      </c>
      <c r="R15" s="1">
        <v>1.7303704842383301</v>
      </c>
      <c r="S15" s="1">
        <v>0.94742952739722996</v>
      </c>
      <c r="T15" s="1">
        <v>0.90683002867746898</v>
      </c>
      <c r="U15" s="1">
        <f t="shared" si="0"/>
        <v>0.44577164590793211</v>
      </c>
      <c r="V15" s="1">
        <f t="shared" si="1"/>
        <v>0.51238127954320778</v>
      </c>
      <c r="W15" s="1">
        <f t="shared" si="2"/>
        <v>2.9101230304450643</v>
      </c>
      <c r="X15" s="1">
        <f t="shared" si="3"/>
        <v>2.7588268886312856E-2</v>
      </c>
      <c r="Y15" s="1">
        <f t="shared" si="4"/>
        <v>6.7673537671230716E-2</v>
      </c>
      <c r="Z15" s="1">
        <f t="shared" si="5"/>
        <v>2.3074048192677477E-3</v>
      </c>
      <c r="AA15" s="1">
        <f t="shared" si="6"/>
        <v>2.0895370482537562E-2</v>
      </c>
      <c r="AB15" s="1">
        <f t="shared" si="7"/>
        <v>1.3333252556973627E-2</v>
      </c>
      <c r="AC15" s="1">
        <f t="shared" si="8"/>
        <v>1.0275732889062923E-3</v>
      </c>
      <c r="AD15" s="1">
        <f t="shared" si="9"/>
        <v>1.3477769328478936E-2</v>
      </c>
    </row>
    <row r="16" spans="1:30" x14ac:dyDescent="0.2">
      <c r="A16" t="s">
        <v>40</v>
      </c>
      <c r="B16" t="s">
        <v>47</v>
      </c>
      <c r="C16" t="s">
        <v>24</v>
      </c>
      <c r="D16" t="s">
        <v>27</v>
      </c>
      <c r="E16" t="s">
        <v>78</v>
      </c>
      <c r="F16">
        <v>2</v>
      </c>
      <c r="G16">
        <v>9.5100000000000004E-2</v>
      </c>
      <c r="H16" s="2">
        <v>0.01</v>
      </c>
      <c r="I16" s="2">
        <v>1</v>
      </c>
      <c r="J16" s="1">
        <v>6.2552226650824698</v>
      </c>
      <c r="K16" s="1">
        <v>7.8146678933764004</v>
      </c>
      <c r="L16" s="1">
        <v>6.0719607381475997</v>
      </c>
      <c r="M16" s="1">
        <v>6.5353442860483799</v>
      </c>
      <c r="N16" s="1">
        <v>36.4871683773803</v>
      </c>
      <c r="O16" s="1">
        <v>34.724485479528497</v>
      </c>
      <c r="P16" s="1">
        <v>0.27258469415007303</v>
      </c>
      <c r="Q16" s="1">
        <v>0.38120439750212598</v>
      </c>
      <c r="R16" s="1">
        <v>1.06793291986031</v>
      </c>
      <c r="S16" s="1">
        <v>0.53871447470550604</v>
      </c>
      <c r="T16" s="1">
        <v>0.517202319146008</v>
      </c>
      <c r="U16" s="1">
        <f t="shared" si="0"/>
        <v>0.65775212040825126</v>
      </c>
      <c r="V16" s="1">
        <f t="shared" si="1"/>
        <v>0.63848167593560456</v>
      </c>
      <c r="W16" s="1">
        <f t="shared" si="2"/>
        <v>3.8367159177056047</v>
      </c>
      <c r="X16" s="1">
        <f t="shared" si="3"/>
        <v>2.8662954169303156E-2</v>
      </c>
      <c r="Y16" s="1">
        <f t="shared" si="4"/>
        <v>5.6647158223502206E-2</v>
      </c>
      <c r="Z16" s="1">
        <f t="shared" si="5"/>
        <v>1.869202540202157E-3</v>
      </c>
      <c r="AA16" s="1">
        <f t="shared" si="6"/>
        <v>1.5022202714806575E-2</v>
      </c>
      <c r="AB16" s="1">
        <f t="shared" si="7"/>
        <v>5.2273893555389141E-3</v>
      </c>
      <c r="AC16" s="1">
        <f t="shared" si="8"/>
        <v>1.3957232123681252E-3</v>
      </c>
      <c r="AD16" s="1">
        <f t="shared" si="9"/>
        <v>1.3411319167435095E-2</v>
      </c>
    </row>
    <row r="17" spans="1:30" x14ac:dyDescent="0.2">
      <c r="A17" t="s">
        <v>41</v>
      </c>
      <c r="B17" t="s">
        <v>47</v>
      </c>
      <c r="C17" t="s">
        <v>24</v>
      </c>
      <c r="D17" t="s">
        <v>27</v>
      </c>
      <c r="E17" t="s">
        <v>78</v>
      </c>
      <c r="F17">
        <v>3</v>
      </c>
      <c r="G17">
        <v>0.12570000000000001</v>
      </c>
      <c r="H17" s="2">
        <v>0.01</v>
      </c>
      <c r="I17" s="2">
        <v>1</v>
      </c>
      <c r="J17" s="1">
        <v>7.02194305627566</v>
      </c>
      <c r="K17" s="1">
        <v>9.9719312906970305</v>
      </c>
      <c r="L17" s="1">
        <v>7.6174846470604898</v>
      </c>
      <c r="M17" s="1">
        <v>8.2294307842213392</v>
      </c>
      <c r="N17" s="1">
        <v>54.118933089744402</v>
      </c>
      <c r="O17" s="1">
        <v>52.033146910521502</v>
      </c>
      <c r="P17" s="1">
        <v>0.34504749396732498</v>
      </c>
      <c r="Q17" s="1">
        <v>0.45480754075284802</v>
      </c>
      <c r="R17" s="1">
        <v>1.8029334381036199</v>
      </c>
      <c r="S17" s="1">
        <v>1.11285857131207</v>
      </c>
      <c r="T17" s="1">
        <v>1.0472474018762601</v>
      </c>
      <c r="U17" s="1">
        <f t="shared" si="0"/>
        <v>0.55862713255971841</v>
      </c>
      <c r="V17" s="1">
        <f t="shared" si="1"/>
        <v>0.60600514296423935</v>
      </c>
      <c r="W17" s="1">
        <f t="shared" si="2"/>
        <v>4.3054043826367856</v>
      </c>
      <c r="X17" s="1">
        <f t="shared" si="3"/>
        <v>2.7450079074568416E-2</v>
      </c>
      <c r="Y17" s="1">
        <f t="shared" si="4"/>
        <v>8.8532901456807464E-2</v>
      </c>
      <c r="Z17" s="1">
        <f t="shared" si="5"/>
        <v>2.6751723058209389E-3</v>
      </c>
      <c r="AA17" s="1">
        <f t="shared" si="6"/>
        <v>1.5008989187485274E-2</v>
      </c>
      <c r="AB17" s="1">
        <f t="shared" si="7"/>
        <v>1.5995506963154531E-2</v>
      </c>
      <c r="AC17" s="1">
        <f t="shared" si="8"/>
        <v>1.0670388000947428E-3</v>
      </c>
      <c r="AD17" s="1">
        <f t="shared" si="9"/>
        <v>1.3230552338644673E-2</v>
      </c>
    </row>
    <row r="18" spans="1:30" x14ac:dyDescent="0.2">
      <c r="A18" t="s">
        <v>44</v>
      </c>
      <c r="B18" t="s">
        <v>47</v>
      </c>
      <c r="C18" t="s">
        <v>25</v>
      </c>
      <c r="D18" t="s">
        <v>27</v>
      </c>
      <c r="E18" t="s">
        <v>78</v>
      </c>
      <c r="F18">
        <v>1</v>
      </c>
      <c r="G18">
        <v>0.22670000000000001</v>
      </c>
      <c r="H18" s="2">
        <v>0.01</v>
      </c>
      <c r="I18" s="2">
        <v>1</v>
      </c>
      <c r="J18" s="1">
        <v>12.199007095865401</v>
      </c>
      <c r="K18" s="1">
        <v>21.2530296890884</v>
      </c>
      <c r="L18" s="1">
        <v>9.6867055824101502</v>
      </c>
      <c r="M18" s="1">
        <v>11.938936191376101</v>
      </c>
      <c r="N18" s="1">
        <v>254.448941139738</v>
      </c>
      <c r="O18" s="1">
        <v>246.79874680078001</v>
      </c>
      <c r="P18" s="1">
        <v>6.0611639393329702</v>
      </c>
      <c r="Q18" s="1">
        <v>7.3790299702253197</v>
      </c>
      <c r="R18" s="1">
        <v>15.0622025526323</v>
      </c>
      <c r="S18" s="1">
        <v>6.2523787389716601</v>
      </c>
      <c r="T18" s="1">
        <v>6.0258029914030899</v>
      </c>
      <c r="U18" s="1">
        <f t="shared" si="0"/>
        <v>0.53811235535356861</v>
      </c>
      <c r="V18" s="1">
        <f t="shared" si="1"/>
        <v>0.4272918210150044</v>
      </c>
      <c r="W18" s="1">
        <f t="shared" si="2"/>
        <v>11.224037985872872</v>
      </c>
      <c r="X18" s="1">
        <f t="shared" si="3"/>
        <v>0.26736497306276885</v>
      </c>
      <c r="Y18" s="1">
        <f t="shared" si="4"/>
        <v>0.27579967970761621</v>
      </c>
      <c r="Z18" s="1">
        <f t="shared" si="5"/>
        <v>4.5525718367952781E-3</v>
      </c>
      <c r="AA18" s="1">
        <f t="shared" si="6"/>
        <v>3.0629144099876601E-2</v>
      </c>
      <c r="AB18" s="1">
        <f t="shared" si="7"/>
        <v>6.8041938104915795E-2</v>
      </c>
      <c r="AC18" s="1">
        <f t="shared" si="8"/>
        <v>7.1038036601255017E-3</v>
      </c>
      <c r="AD18" s="1">
        <f t="shared" si="9"/>
        <v>9.3655383285937976E-2</v>
      </c>
    </row>
    <row r="19" spans="1:30" x14ac:dyDescent="0.2">
      <c r="A19" t="s">
        <v>45</v>
      </c>
      <c r="B19" t="s">
        <v>47</v>
      </c>
      <c r="C19" t="s">
        <v>25</v>
      </c>
      <c r="D19" t="s">
        <v>27</v>
      </c>
      <c r="E19" t="s">
        <v>78</v>
      </c>
      <c r="F19">
        <v>2</v>
      </c>
      <c r="G19">
        <v>0.2412</v>
      </c>
      <c r="H19" s="2">
        <v>0.01</v>
      </c>
      <c r="I19" s="2">
        <v>1</v>
      </c>
      <c r="J19" s="1">
        <v>23.686472755883301</v>
      </c>
      <c r="K19" s="1">
        <v>34.610647722930302</v>
      </c>
      <c r="L19" s="1">
        <v>15.1889246609315</v>
      </c>
      <c r="M19" s="1">
        <v>19.575614112264699</v>
      </c>
      <c r="N19" s="1">
        <v>737.99966765415604</v>
      </c>
      <c r="O19" s="1">
        <v>710.70681659418403</v>
      </c>
      <c r="P19" s="1">
        <v>6.9038171898291099</v>
      </c>
      <c r="Q19" s="1">
        <v>8.9487564201191496</v>
      </c>
      <c r="R19" s="1">
        <v>19.861315203282299</v>
      </c>
      <c r="S19" s="1">
        <v>11.1423107842925</v>
      </c>
      <c r="T19" s="1">
        <v>10.6106889126483</v>
      </c>
      <c r="U19" s="1">
        <f t="shared" si="0"/>
        <v>0.98202623366017006</v>
      </c>
      <c r="V19" s="1">
        <f t="shared" si="1"/>
        <v>0.62972324464890128</v>
      </c>
      <c r="W19" s="1">
        <f t="shared" si="2"/>
        <v>30.597001146523883</v>
      </c>
      <c r="X19" s="1">
        <f t="shared" si="3"/>
        <v>0.2862279100260825</v>
      </c>
      <c r="Y19" s="1">
        <f t="shared" si="4"/>
        <v>0.46195318342837893</v>
      </c>
      <c r="Z19" s="1">
        <f t="shared" si="5"/>
        <v>5.1627143635725025E-3</v>
      </c>
      <c r="AA19" s="1">
        <f t="shared" si="6"/>
        <v>5.6070329927281316E-2</v>
      </c>
      <c r="AB19" s="1">
        <f t="shared" si="7"/>
        <v>0.14675600444720824</v>
      </c>
      <c r="AC19" s="1">
        <f t="shared" si="8"/>
        <v>1.0360347178335111E-2</v>
      </c>
      <c r="AD19" s="1">
        <f t="shared" si="9"/>
        <v>8.7117747304168394E-2</v>
      </c>
    </row>
    <row r="20" spans="1:30" x14ac:dyDescent="0.2">
      <c r="A20" t="s">
        <v>46</v>
      </c>
      <c r="B20" t="s">
        <v>47</v>
      </c>
      <c r="C20" t="s">
        <v>25</v>
      </c>
      <c r="D20" t="s">
        <v>27</v>
      </c>
      <c r="E20" t="s">
        <v>78</v>
      </c>
      <c r="F20">
        <v>3</v>
      </c>
      <c r="G20">
        <v>0.20649999999999999</v>
      </c>
      <c r="H20" s="2">
        <v>0.01</v>
      </c>
      <c r="I20" s="2">
        <v>1</v>
      </c>
      <c r="J20" s="1">
        <v>12.122806312600501</v>
      </c>
      <c r="K20" s="1">
        <v>21.9996105381916</v>
      </c>
      <c r="L20" s="1">
        <v>11.828778023754801</v>
      </c>
      <c r="M20" s="1">
        <v>14.3526938493017</v>
      </c>
      <c r="N20" s="1">
        <v>349.12147359627102</v>
      </c>
      <c r="O20" s="1">
        <v>334.46519341530097</v>
      </c>
      <c r="P20" s="1">
        <v>6.9200067765030502</v>
      </c>
      <c r="Q20" s="1">
        <v>8.0638468683092306</v>
      </c>
      <c r="R20" s="1">
        <v>14.8117206201951</v>
      </c>
      <c r="S20" s="1">
        <v>8.2500595766657892</v>
      </c>
      <c r="T20" s="1">
        <v>7.7924132327957096</v>
      </c>
      <c r="U20" s="1">
        <f t="shared" si="0"/>
        <v>0.58706083838259082</v>
      </c>
      <c r="V20" s="1">
        <f t="shared" si="1"/>
        <v>0.57282218032710897</v>
      </c>
      <c r="W20" s="1">
        <f t="shared" si="2"/>
        <v>16.906608890860582</v>
      </c>
      <c r="X20" s="1">
        <f t="shared" si="3"/>
        <v>0.33510928699772641</v>
      </c>
      <c r="Y20" s="1">
        <f t="shared" si="4"/>
        <v>0.39951862356735063</v>
      </c>
      <c r="Z20" s="1">
        <f t="shared" si="5"/>
        <v>5.4520915916471159E-3</v>
      </c>
      <c r="AA20" s="1">
        <f t="shared" si="6"/>
        <v>3.7681513269545233E-2</v>
      </c>
      <c r="AB20" s="1">
        <f t="shared" si="7"/>
        <v>6.3064712040079213E-2</v>
      </c>
      <c r="AC20" s="1">
        <f t="shared" si="8"/>
        <v>6.7688745384365751E-3</v>
      </c>
      <c r="AD20" s="1">
        <f t="shared" si="9"/>
        <v>7.6579191839736757E-2</v>
      </c>
    </row>
    <row r="21" spans="1:30" x14ac:dyDescent="0.2">
      <c r="A21" t="s">
        <v>8</v>
      </c>
      <c r="B21" t="s">
        <v>31</v>
      </c>
      <c r="C21" t="s">
        <v>26</v>
      </c>
      <c r="D21" t="s">
        <v>28</v>
      </c>
      <c r="E21" t="s">
        <v>77</v>
      </c>
      <c r="F21">
        <v>1</v>
      </c>
      <c r="G21">
        <v>1.0448</v>
      </c>
      <c r="H21" s="2">
        <v>0.01</v>
      </c>
      <c r="I21" s="2">
        <f>11.5/2</f>
        <v>5.75</v>
      </c>
      <c r="J21" s="1">
        <v>4.33823621296873</v>
      </c>
      <c r="K21" s="1">
        <v>15.047704367451701</v>
      </c>
      <c r="L21" s="1">
        <v>6.1896856019944</v>
      </c>
      <c r="M21" s="1">
        <v>7.5847090449621604</v>
      </c>
      <c r="N21" s="1">
        <v>101.73156513044199</v>
      </c>
      <c r="O21" s="1">
        <v>95.185093918539096</v>
      </c>
      <c r="P21" s="1">
        <v>26.493733035977201</v>
      </c>
      <c r="Q21" s="1">
        <v>27.7328419650926</v>
      </c>
      <c r="R21" s="1">
        <v>1.09235313216162</v>
      </c>
      <c r="S21" s="1">
        <v>0.204107017780079</v>
      </c>
      <c r="T21" s="1">
        <v>0.20553217044959701</v>
      </c>
      <c r="U21" s="1">
        <f t="shared" si="0"/>
        <v>0.23875247152153714</v>
      </c>
      <c r="V21" s="1">
        <f t="shared" si="1"/>
        <v>0.34064598211588626</v>
      </c>
      <c r="W21" s="1">
        <f t="shared" si="2"/>
        <v>5.5987413811259712</v>
      </c>
      <c r="X21" s="1">
        <f t="shared" si="3"/>
        <v>1.4580681944570149</v>
      </c>
      <c r="Y21" s="1">
        <f t="shared" si="4"/>
        <v>1.1232918761824792E-2</v>
      </c>
      <c r="Z21" s="1">
        <f t="shared" si="5"/>
        <v>6.7184538484348234E-3</v>
      </c>
      <c r="AA21" s="1">
        <f t="shared" si="6"/>
        <v>2.3669534197310712E-2</v>
      </c>
      <c r="AB21" s="1">
        <v>0</v>
      </c>
      <c r="AC21" s="1">
        <f t="shared" si="8"/>
        <v>8.3332684632746526E-3</v>
      </c>
      <c r="AD21" s="1">
        <f t="shared" si="9"/>
        <v>1.1781078225538099E-2</v>
      </c>
    </row>
    <row r="22" spans="1:30" x14ac:dyDescent="0.2">
      <c r="A22" t="s">
        <v>48</v>
      </c>
      <c r="B22" t="s">
        <v>31</v>
      </c>
      <c r="C22" t="s">
        <v>26</v>
      </c>
      <c r="D22" t="s">
        <v>28</v>
      </c>
      <c r="E22" t="s">
        <v>78</v>
      </c>
      <c r="F22">
        <v>2</v>
      </c>
      <c r="G22">
        <v>1.2302</v>
      </c>
      <c r="H22" s="2">
        <v>0.01</v>
      </c>
      <c r="I22" s="2">
        <f>11/2</f>
        <v>5.5</v>
      </c>
      <c r="J22" s="1">
        <v>2.2920934397674801</v>
      </c>
      <c r="K22" s="1">
        <v>10.0983709527969</v>
      </c>
      <c r="L22" s="1">
        <v>3.9691257229813499</v>
      </c>
      <c r="M22" s="1">
        <v>5.18983291065903</v>
      </c>
      <c r="N22" s="1">
        <v>69.152574254648798</v>
      </c>
      <c r="O22" s="1">
        <v>66.818646927149501</v>
      </c>
      <c r="P22" s="1">
        <v>15.166042536051201</v>
      </c>
      <c r="Q22" s="1">
        <v>15.733319320667301</v>
      </c>
      <c r="R22" s="1">
        <v>0.47648329349479202</v>
      </c>
      <c r="S22" s="1">
        <v>8.9067163637093993E-2</v>
      </c>
      <c r="T22" s="1">
        <v>8.0989238712370404E-2</v>
      </c>
      <c r="U22" s="1">
        <f t="shared" si="0"/>
        <v>0.10247532042530598</v>
      </c>
      <c r="V22" s="1">
        <f t="shared" si="1"/>
        <v>0.17745237747030909</v>
      </c>
      <c r="W22" s="1">
        <f t="shared" si="2"/>
        <v>3.0916855665791614</v>
      </c>
      <c r="X22" s="1">
        <f t="shared" si="3"/>
        <v>0.67804612216128768</v>
      </c>
      <c r="Y22" s="1">
        <f t="shared" si="4"/>
        <v>3.9820305641685661E-3</v>
      </c>
      <c r="Z22" s="1">
        <f t="shared" si="5"/>
        <v>3.9783016220177447E-3</v>
      </c>
      <c r="AA22" s="1">
        <f t="shared" si="6"/>
        <v>1.6825655525814165E-2</v>
      </c>
      <c r="AB22" s="1">
        <f t="shared" si="7"/>
        <v>1.5002971629104083E-2</v>
      </c>
      <c r="AC22" s="1">
        <f t="shared" si="8"/>
        <v>3.0992255482074514E-3</v>
      </c>
      <c r="AD22" s="1">
        <f t="shared" si="9"/>
        <v>4.1742812561077767E-3</v>
      </c>
    </row>
    <row r="23" spans="1:30" x14ac:dyDescent="0.2">
      <c r="A23" t="s">
        <v>49</v>
      </c>
      <c r="B23" t="s">
        <v>31</v>
      </c>
      <c r="C23" t="s">
        <v>26</v>
      </c>
      <c r="D23" t="s">
        <v>28</v>
      </c>
      <c r="E23" t="s">
        <v>78</v>
      </c>
      <c r="F23">
        <v>3</v>
      </c>
      <c r="G23">
        <v>1.2637</v>
      </c>
      <c r="H23" s="2">
        <v>0.01</v>
      </c>
      <c r="I23" s="2">
        <f>11/2</f>
        <v>5.5</v>
      </c>
      <c r="J23" s="1">
        <v>2.5045947521416601</v>
      </c>
      <c r="K23" s="1">
        <v>27.0443992255178</v>
      </c>
      <c r="L23" s="1">
        <v>6.0099917516413299</v>
      </c>
      <c r="M23" s="1">
        <v>6.9610944413545202</v>
      </c>
      <c r="N23" s="1">
        <v>103.341832448734</v>
      </c>
      <c r="O23" s="1">
        <v>101.084145710646</v>
      </c>
      <c r="P23" s="1">
        <v>33.714179459452303</v>
      </c>
      <c r="Q23" s="1">
        <v>35.293136625323399</v>
      </c>
      <c r="R23" s="1">
        <v>1.4320559399149899</v>
      </c>
      <c r="S23" s="1">
        <v>0.140051405097085</v>
      </c>
      <c r="T23" s="1">
        <v>0.128239093681765</v>
      </c>
      <c r="U23" s="1">
        <f t="shared" si="0"/>
        <v>0.10900744746996224</v>
      </c>
      <c r="V23" s="1">
        <f t="shared" si="1"/>
        <v>0.26157279919306253</v>
      </c>
      <c r="W23" s="1">
        <f t="shared" si="2"/>
        <v>4.4977453388307111</v>
      </c>
      <c r="X23" s="1">
        <f t="shared" si="3"/>
        <v>1.4673418297617129</v>
      </c>
      <c r="Y23" s="1">
        <f t="shared" si="4"/>
        <v>6.0954556305607933E-3</v>
      </c>
      <c r="Z23" s="1">
        <f t="shared" si="5"/>
        <v>1.2174651986674688E-2</v>
      </c>
      <c r="AA23" s="1">
        <f t="shared" si="6"/>
        <v>1.2762026397184231E-2</v>
      </c>
      <c r="AB23" s="1">
        <f t="shared" si="7"/>
        <v>3.3487833919669488E-2</v>
      </c>
      <c r="AC23" s="1">
        <f t="shared" si="8"/>
        <v>8.397698118081531E-3</v>
      </c>
      <c r="AD23" s="1">
        <f t="shared" si="9"/>
        <v>1.3551887401290914E-2</v>
      </c>
    </row>
    <row r="24" spans="1:30" x14ac:dyDescent="0.2">
      <c r="A24" t="s">
        <v>6</v>
      </c>
      <c r="B24" t="s">
        <v>31</v>
      </c>
      <c r="C24" t="s">
        <v>24</v>
      </c>
      <c r="D24" t="s">
        <v>28</v>
      </c>
      <c r="E24" t="s">
        <v>77</v>
      </c>
      <c r="F24">
        <v>1</v>
      </c>
      <c r="G24">
        <v>0.20069999999999999</v>
      </c>
      <c r="H24" s="2">
        <v>0.01</v>
      </c>
      <c r="I24" s="2">
        <f>11.5/2</f>
        <v>5.75</v>
      </c>
      <c r="J24" s="1">
        <v>3.06761771660786</v>
      </c>
      <c r="K24" s="1">
        <v>5.9623521955859404</v>
      </c>
      <c r="L24" s="1">
        <v>4.9530034690294604</v>
      </c>
      <c r="M24" s="1">
        <v>5.8488252242729697</v>
      </c>
      <c r="N24" s="1">
        <v>27.124691175777901</v>
      </c>
      <c r="O24" s="1">
        <v>25.3596007330536</v>
      </c>
      <c r="P24" s="1">
        <v>1.0943478400354201</v>
      </c>
      <c r="Q24" s="1">
        <v>1.26113983150772</v>
      </c>
      <c r="R24" s="1">
        <v>0.475290229061339</v>
      </c>
      <c r="S24" s="1">
        <v>0.100520239611624</v>
      </c>
      <c r="T24" s="1">
        <v>0.10136189481892199</v>
      </c>
      <c r="U24" s="1">
        <f t="shared" si="0"/>
        <v>0.87886406928227179</v>
      </c>
      <c r="V24" s="1">
        <f t="shared" si="1"/>
        <v>1.4190219206237866</v>
      </c>
      <c r="W24" s="1">
        <f t="shared" si="2"/>
        <v>7.7711496891242131</v>
      </c>
      <c r="X24" s="1">
        <f t="shared" si="3"/>
        <v>0.31352765720994846</v>
      </c>
      <c r="Y24" s="1">
        <f t="shared" si="4"/>
        <v>2.8798773182204186E-2</v>
      </c>
      <c r="Z24" s="1">
        <f t="shared" si="5"/>
        <v>9.4535725148858531E-3</v>
      </c>
      <c r="AA24" s="1">
        <f t="shared" si="6"/>
        <v>7.912534235496016E-2</v>
      </c>
      <c r="AB24" s="1">
        <v>0</v>
      </c>
      <c r="AC24" s="1">
        <f t="shared" si="8"/>
        <v>5.8393818040862761E-3</v>
      </c>
      <c r="AD24" s="1">
        <f t="shared" si="9"/>
        <v>2.5876308564023048E-2</v>
      </c>
    </row>
    <row r="25" spans="1:30" x14ac:dyDescent="0.2">
      <c r="A25" t="s">
        <v>50</v>
      </c>
      <c r="B25" t="s">
        <v>31</v>
      </c>
      <c r="C25" t="s">
        <v>24</v>
      </c>
      <c r="D25" t="s">
        <v>28</v>
      </c>
      <c r="E25" t="s">
        <v>78</v>
      </c>
      <c r="F25">
        <v>2</v>
      </c>
      <c r="G25">
        <v>0.1837</v>
      </c>
      <c r="H25" s="2">
        <v>0.01</v>
      </c>
      <c r="I25" s="2">
        <f>11.8/2</f>
        <v>5.9</v>
      </c>
      <c r="J25" s="1">
        <v>3.5642492026404602</v>
      </c>
      <c r="K25" s="1">
        <v>6.4788614007066903</v>
      </c>
      <c r="L25" s="1">
        <v>3.8046268702086401</v>
      </c>
      <c r="M25" s="1">
        <v>4.5690537189763303</v>
      </c>
      <c r="N25" s="1">
        <v>24.1145137917193</v>
      </c>
      <c r="O25" s="1">
        <v>23.1057015341278</v>
      </c>
      <c r="P25" s="1">
        <v>1.3697616514512601</v>
      </c>
      <c r="Q25" s="1">
        <v>1.6814707165018601</v>
      </c>
      <c r="R25" s="1">
        <v>0.44998468408535403</v>
      </c>
      <c r="S25" s="1">
        <v>9.2072293199428001E-2</v>
      </c>
      <c r="T25" s="1">
        <v>8.3458498631281894E-2</v>
      </c>
      <c r="U25" s="1">
        <f t="shared" si="0"/>
        <v>1.1447506965475622</v>
      </c>
      <c r="V25" s="1">
        <f t="shared" si="1"/>
        <v>1.2219541934801839</v>
      </c>
      <c r="W25" s="1">
        <f t="shared" si="2"/>
        <v>7.7449989859087571</v>
      </c>
      <c r="X25" s="1">
        <f t="shared" si="3"/>
        <v>0.43993433552326805</v>
      </c>
      <c r="Y25" s="1">
        <f t="shared" si="4"/>
        <v>2.9571395202864739E-2</v>
      </c>
      <c r="Z25" s="1">
        <f t="shared" si="5"/>
        <v>1.0670638009252371E-2</v>
      </c>
      <c r="AA25" s="1">
        <f t="shared" si="6"/>
        <v>7.569240637468512E-2</v>
      </c>
      <c r="AB25" s="1">
        <f t="shared" si="7"/>
        <v>1.5673067306305886E-2</v>
      </c>
      <c r="AC25" s="1">
        <f t="shared" si="8"/>
        <v>1.2233859647260842E-2</v>
      </c>
      <c r="AD25" s="1">
        <f t="shared" si="9"/>
        <v>2.7703627033244325E-2</v>
      </c>
    </row>
    <row r="26" spans="1:30" x14ac:dyDescent="0.2">
      <c r="A26" t="s">
        <v>51</v>
      </c>
      <c r="B26" t="s">
        <v>31</v>
      </c>
      <c r="C26" t="s">
        <v>24</v>
      </c>
      <c r="D26" t="s">
        <v>28</v>
      </c>
      <c r="E26" t="s">
        <v>78</v>
      </c>
      <c r="F26">
        <v>3</v>
      </c>
      <c r="G26">
        <v>0.1779</v>
      </c>
      <c r="H26" s="2">
        <v>0.01</v>
      </c>
      <c r="I26" s="2">
        <f t="shared" ref="I26:I29" si="10">11.8/2</f>
        <v>5.9</v>
      </c>
      <c r="J26" s="1">
        <v>3.4340748611378</v>
      </c>
      <c r="K26" s="1">
        <v>7.1017829144287798</v>
      </c>
      <c r="L26" s="1">
        <v>3.3470517932889399</v>
      </c>
      <c r="M26" s="1">
        <v>4.4285821744345002</v>
      </c>
      <c r="N26" s="1">
        <v>25.785795635749398</v>
      </c>
      <c r="O26" s="1">
        <v>25.7161215309021</v>
      </c>
      <c r="P26" s="1">
        <v>1.40472000391114</v>
      </c>
      <c r="Q26" s="1">
        <v>1.7496013510895201</v>
      </c>
      <c r="R26" s="1">
        <v>0.87421462269767602</v>
      </c>
      <c r="S26" s="1">
        <v>0.106023071156655</v>
      </c>
      <c r="T26" s="1">
        <v>9.5104764623207994E-2</v>
      </c>
      <c r="U26" s="1">
        <f t="shared" si="0"/>
        <v>1.1389006003773481</v>
      </c>
      <c r="V26" s="1">
        <f t="shared" si="1"/>
        <v>1.110039661630396</v>
      </c>
      <c r="W26" s="1">
        <f t="shared" si="2"/>
        <v>8.5517815767802947</v>
      </c>
      <c r="X26" s="1">
        <f t="shared" si="3"/>
        <v>0.46587116487216002</v>
      </c>
      <c r="Y26" s="1">
        <f t="shared" si="4"/>
        <v>3.5162232705130109E-2</v>
      </c>
      <c r="Z26" s="1">
        <f t="shared" si="5"/>
        <v>1.3865565159462445E-2</v>
      </c>
      <c r="AA26" s="1">
        <f t="shared" si="6"/>
        <v>0.11058298580058121</v>
      </c>
      <c r="AB26" s="1">
        <f t="shared" si="7"/>
        <v>8.5183618021011973E-2</v>
      </c>
      <c r="AC26" s="1">
        <f t="shared" si="8"/>
        <v>1.3977096890875125E-2</v>
      </c>
      <c r="AD26" s="1">
        <f t="shared" si="9"/>
        <v>6.139918870917245E-2</v>
      </c>
    </row>
    <row r="27" spans="1:30" x14ac:dyDescent="0.2">
      <c r="A27" t="s">
        <v>7</v>
      </c>
      <c r="B27" t="s">
        <v>31</v>
      </c>
      <c r="C27" t="s">
        <v>25</v>
      </c>
      <c r="D27" t="s">
        <v>28</v>
      </c>
      <c r="E27" t="s">
        <v>77</v>
      </c>
      <c r="F27">
        <v>1</v>
      </c>
      <c r="G27">
        <v>0.36859999999999998</v>
      </c>
      <c r="H27" s="2">
        <v>0.01</v>
      </c>
      <c r="I27" s="2">
        <f>12/2</f>
        <v>6</v>
      </c>
      <c r="J27" s="1">
        <v>4.0030759300523302</v>
      </c>
      <c r="K27" s="1">
        <v>24.9165230928011</v>
      </c>
      <c r="L27" s="1">
        <v>4.3154659126553003</v>
      </c>
      <c r="M27" s="1">
        <v>5.1546311872665997</v>
      </c>
      <c r="N27" s="1">
        <v>282.34609597498797</v>
      </c>
      <c r="O27" s="1">
        <v>262.86863674334103</v>
      </c>
      <c r="P27" s="1">
        <v>88.913998413185396</v>
      </c>
      <c r="Q27" s="1">
        <v>90.884431501475206</v>
      </c>
      <c r="R27" s="1">
        <v>4.0615399960624696</v>
      </c>
      <c r="S27" s="1">
        <v>0.88164141134729801</v>
      </c>
      <c r="T27" s="1">
        <v>0.88555444703660902</v>
      </c>
      <c r="U27" s="1">
        <f t="shared" si="0"/>
        <v>0.65161301086039025</v>
      </c>
      <c r="V27" s="1">
        <f t="shared" si="1"/>
        <v>0.70246325219565386</v>
      </c>
      <c r="W27" s="1">
        <f t="shared" si="2"/>
        <v>45.959755177697446</v>
      </c>
      <c r="X27" s="1">
        <f t="shared" si="3"/>
        <v>14.473249877349769</v>
      </c>
      <c r="Y27" s="1">
        <f t="shared" si="4"/>
        <v>0.14351189549874629</v>
      </c>
      <c r="Z27" s="1">
        <f t="shared" si="5"/>
        <v>3.8805054401764502E-2</v>
      </c>
      <c r="AA27" s="1">
        <f t="shared" si="6"/>
        <v>4.2113074470319638E-2</v>
      </c>
      <c r="AB27" s="1">
        <f>((O27-1.6362)/0.9224-N27)*I27*H27*0.1875/G27</f>
        <v>2.6351658740323254E-2</v>
      </c>
      <c r="AC27" s="1">
        <f t="shared" si="8"/>
        <v>3.9194832890235703E-2</v>
      </c>
      <c r="AD27" s="1">
        <f t="shared" si="9"/>
        <v>0.12474588587895111</v>
      </c>
    </row>
    <row r="28" spans="1:30" x14ac:dyDescent="0.2">
      <c r="A28" t="s">
        <v>52</v>
      </c>
      <c r="B28" t="s">
        <v>31</v>
      </c>
      <c r="C28" t="s">
        <v>25</v>
      </c>
      <c r="D28" t="s">
        <v>28</v>
      </c>
      <c r="E28" t="s">
        <v>78</v>
      </c>
      <c r="F28">
        <v>2</v>
      </c>
      <c r="G28">
        <v>0.46439999999999998</v>
      </c>
      <c r="H28" s="2">
        <v>0.01</v>
      </c>
      <c r="I28" s="2">
        <f t="shared" si="10"/>
        <v>5.9</v>
      </c>
      <c r="J28" s="1">
        <v>4.5394866586425904</v>
      </c>
      <c r="K28" s="1">
        <v>50.582486448544998</v>
      </c>
      <c r="L28" s="1">
        <v>4.5606917569715</v>
      </c>
      <c r="M28" s="1">
        <v>5.5022400586591598</v>
      </c>
      <c r="N28" s="1">
        <v>125.60039859893</v>
      </c>
      <c r="O28" s="1">
        <v>120.923418802249</v>
      </c>
      <c r="P28" s="1">
        <v>147.165221211568</v>
      </c>
      <c r="Q28" s="1">
        <v>150.679667108248</v>
      </c>
      <c r="R28" s="1">
        <v>3.0037379924285301</v>
      </c>
      <c r="S28" s="1">
        <v>0.32514597822990099</v>
      </c>
      <c r="T28" s="1">
        <v>0.29988088713115002</v>
      </c>
      <c r="U28" s="1">
        <f t="shared" si="0"/>
        <v>0.57672203458206905</v>
      </c>
      <c r="V28" s="1">
        <f t="shared" si="1"/>
        <v>0.5794160500889719</v>
      </c>
      <c r="W28" s="1">
        <f t="shared" si="2"/>
        <v>15.956984318124185</v>
      </c>
      <c r="X28" s="1">
        <f t="shared" si="3"/>
        <v>18.696701230582502</v>
      </c>
      <c r="Y28" s="1">
        <f t="shared" si="4"/>
        <v>4.1308382247123514E-2</v>
      </c>
      <c r="Z28" s="1">
        <f t="shared" si="5"/>
        <v>6.6679166928726871E-2</v>
      </c>
      <c r="AA28" s="1">
        <f t="shared" si="6"/>
        <v>3.6878727698553035E-2</v>
      </c>
      <c r="AB28" s="1">
        <f t="shared" si="7"/>
        <v>7.0984184863775487E-2</v>
      </c>
      <c r="AC28" s="1">
        <f t="shared" si="8"/>
        <v>5.4561696868827482E-2</v>
      </c>
      <c r="AD28" s="1">
        <f t="shared" si="9"/>
        <v>8.2013134905017895E-2</v>
      </c>
    </row>
    <row r="29" spans="1:30" x14ac:dyDescent="0.2">
      <c r="A29" t="s">
        <v>53</v>
      </c>
      <c r="B29" t="s">
        <v>31</v>
      </c>
      <c r="C29" t="s">
        <v>25</v>
      </c>
      <c r="D29" t="s">
        <v>28</v>
      </c>
      <c r="E29" t="s">
        <v>78</v>
      </c>
      <c r="F29">
        <v>3</v>
      </c>
      <c r="G29">
        <v>0.43690000000000001</v>
      </c>
      <c r="H29" s="2">
        <v>0.01</v>
      </c>
      <c r="I29" s="2">
        <f t="shared" si="10"/>
        <v>5.9</v>
      </c>
      <c r="J29" s="1">
        <v>2.9253972499196799</v>
      </c>
      <c r="K29" s="1">
        <v>63.288736748280598</v>
      </c>
      <c r="L29" s="1">
        <v>3.60289775930055</v>
      </c>
      <c r="M29" s="1">
        <v>4.5060113468092498</v>
      </c>
      <c r="N29" s="1">
        <v>89.265417728329197</v>
      </c>
      <c r="O29" s="1">
        <v>87.674624521213005</v>
      </c>
      <c r="P29" s="1">
        <v>70.3895751781928</v>
      </c>
      <c r="Q29" s="1">
        <v>74.089666229207495</v>
      </c>
      <c r="R29" s="1">
        <v>3.3840022515229999</v>
      </c>
      <c r="S29" s="1">
        <v>0.33054680374379702</v>
      </c>
      <c r="T29" s="1">
        <v>0.30009805374663301</v>
      </c>
      <c r="U29" s="1">
        <f t="shared" si="0"/>
        <v>0.39505250113358004</v>
      </c>
      <c r="V29" s="1">
        <f t="shared" si="1"/>
        <v>0.48654375783642129</v>
      </c>
      <c r="W29" s="1">
        <f t="shared" si="2"/>
        <v>12.054611229048804</v>
      </c>
      <c r="X29" s="1">
        <f t="shared" si="3"/>
        <v>9.5055732101473467</v>
      </c>
      <c r="Y29" s="1">
        <f t="shared" si="4"/>
        <v>4.4637815108455083E-2</v>
      </c>
      <c r="Z29" s="1">
        <f t="shared" si="5"/>
        <v>9.2920166421531572E-2</v>
      </c>
      <c r="AA29" s="1">
        <f t="shared" si="6"/>
        <v>3.7599828845747307E-2</v>
      </c>
      <c r="AB29" s="1">
        <f t="shared" si="7"/>
        <v>9.8618806644909573E-2</v>
      </c>
      <c r="AC29" s="1">
        <f t="shared" si="8"/>
        <v>6.1059547859019805E-2</v>
      </c>
      <c r="AD29" s="1">
        <f t="shared" si="9"/>
        <v>9.9375333055556167E-2</v>
      </c>
    </row>
    <row r="30" spans="1:30" x14ac:dyDescent="0.2">
      <c r="A30" t="s">
        <v>4</v>
      </c>
      <c r="B30" t="s">
        <v>31</v>
      </c>
      <c r="C30" t="s">
        <v>23</v>
      </c>
      <c r="D30" t="s">
        <v>28</v>
      </c>
      <c r="E30" t="s">
        <v>77</v>
      </c>
      <c r="F30">
        <v>1</v>
      </c>
      <c r="G30">
        <v>1.6141000000000001</v>
      </c>
      <c r="H30" s="2">
        <v>0.01</v>
      </c>
      <c r="I30" s="2">
        <f>12/2</f>
        <v>6</v>
      </c>
      <c r="J30" s="1">
        <v>2.0904145709314199</v>
      </c>
      <c r="K30" s="1">
        <v>2.54586407849829</v>
      </c>
      <c r="L30" s="1">
        <v>2.4020353433263</v>
      </c>
      <c r="M30" s="1">
        <v>2.4829219125645898</v>
      </c>
      <c r="N30" s="1">
        <v>8.8202561157988395</v>
      </c>
      <c r="O30" s="1">
        <v>8.2019229826434703</v>
      </c>
      <c r="P30" s="1">
        <v>0.206588205324921</v>
      </c>
      <c r="Q30" s="1">
        <v>0.232714731683725</v>
      </c>
      <c r="R30" s="1">
        <v>0.434693159565811</v>
      </c>
      <c r="S30" s="1">
        <v>0.170335700956878</v>
      </c>
      <c r="T30" s="1">
        <v>0.17100523394157099</v>
      </c>
      <c r="U30" s="1">
        <f>J30*I30*H30/G30</f>
        <v>7.7705764361492582E-2</v>
      </c>
      <c r="V30" s="1">
        <f>L30*I30*H30/G30</f>
        <v>8.9289461990941066E-2</v>
      </c>
      <c r="W30" s="1">
        <f>N30*I30*H30/G30</f>
        <v>0.3278702477838612</v>
      </c>
      <c r="X30" s="1">
        <f>P30*I30*H30/G30</f>
        <v>7.6793831358002961E-3</v>
      </c>
      <c r="Y30" s="1">
        <f>S30*I30*H30/G30</f>
        <v>6.331789887499337E-3</v>
      </c>
      <c r="Z30" s="1">
        <f>(K30-J30)*I30*H30*0.011399/G30</f>
        <v>1.9298688817624997E-4</v>
      </c>
      <c r="AA30" s="1">
        <f>(M30-L30)*I30*H30*0.3083/G30</f>
        <v>9.2698083004143857E-4</v>
      </c>
      <c r="AB30" s="1">
        <v>0</v>
      </c>
      <c r="AC30" s="1">
        <f>(Q30-P30)*I30*H30*0.1222/G30</f>
        <v>1.1867894880289381E-4</v>
      </c>
      <c r="AD30" s="1">
        <f>(R30-S30)*I30*H30*0.241/G30</f>
        <v>2.368260238823599E-3</v>
      </c>
    </row>
    <row r="31" spans="1:30" x14ac:dyDescent="0.2">
      <c r="A31" t="s">
        <v>5</v>
      </c>
      <c r="B31" t="s">
        <v>31</v>
      </c>
      <c r="C31" t="s">
        <v>29</v>
      </c>
      <c r="D31" t="s">
        <v>28</v>
      </c>
      <c r="E31" t="s">
        <v>77</v>
      </c>
      <c r="F31">
        <v>1</v>
      </c>
      <c r="G31">
        <v>1.6141000000000001</v>
      </c>
      <c r="H31" s="2">
        <v>0.01</v>
      </c>
      <c r="I31" s="2">
        <v>6</v>
      </c>
      <c r="J31" s="1">
        <v>2.2957758114486202</v>
      </c>
      <c r="K31" s="1">
        <v>28.024548553555402</v>
      </c>
      <c r="L31" s="1">
        <v>2.20553760849173</v>
      </c>
      <c r="M31" s="1">
        <v>3.13634146477616</v>
      </c>
      <c r="N31" s="1">
        <v>15.1550919759209</v>
      </c>
      <c r="O31" s="1">
        <v>16.322464041322601</v>
      </c>
      <c r="P31" s="1">
        <v>0.399033373329853</v>
      </c>
      <c r="Q31" s="1">
        <v>0.55074315534957496</v>
      </c>
      <c r="R31" s="1">
        <v>1.00764825795792</v>
      </c>
      <c r="S31" s="1">
        <v>3.60540026891151E-2</v>
      </c>
      <c r="T31" s="1">
        <v>2.9500153880956299E-2</v>
      </c>
      <c r="U31" s="1">
        <f t="shared" si="0"/>
        <v>8.5339538248508276E-2</v>
      </c>
      <c r="V31" s="1">
        <f t="shared" si="1"/>
        <v>8.1985166042688684E-2</v>
      </c>
      <c r="W31" s="1">
        <f t="shared" si="2"/>
        <v>0.56335141475450967</v>
      </c>
      <c r="X31" s="1">
        <f t="shared" si="3"/>
        <v>1.483303537562182E-2</v>
      </c>
      <c r="Y31" s="1">
        <f t="shared" si="4"/>
        <v>1.3402144609050901E-3</v>
      </c>
      <c r="Z31" s="1">
        <f t="shared" si="5"/>
        <v>1.0902011541562796E-2</v>
      </c>
      <c r="AA31" s="1">
        <f t="shared" si="6"/>
        <v>1.0667250934607143E-2</v>
      </c>
      <c r="AB31" s="1">
        <f>((O31-1.6362)/0.9224-N31)*I31*H31*0.1875/G31</f>
        <v>5.3437910205317652E-3</v>
      </c>
      <c r="AC31" s="1">
        <f t="shared" si="8"/>
        <v>6.8913705580112841E-4</v>
      </c>
      <c r="AD31" s="1">
        <f t="shared" si="9"/>
        <v>8.7040783911696423E-3</v>
      </c>
    </row>
    <row r="32" spans="1:30" x14ac:dyDescent="0.2">
      <c r="A32" t="s">
        <v>54</v>
      </c>
      <c r="B32" t="s">
        <v>31</v>
      </c>
      <c r="C32" t="s">
        <v>29</v>
      </c>
      <c r="D32" t="s">
        <v>28</v>
      </c>
      <c r="E32" t="s">
        <v>78</v>
      </c>
      <c r="F32">
        <v>2</v>
      </c>
      <c r="G32">
        <v>1.8783000000000001</v>
      </c>
      <c r="H32" s="2">
        <v>0.01</v>
      </c>
      <c r="I32" s="2">
        <f t="shared" ref="I32:I33" si="11">12/2</f>
        <v>6</v>
      </c>
      <c r="J32" s="1">
        <v>2.9605275548922201</v>
      </c>
      <c r="K32" s="1">
        <v>36.109612640261197</v>
      </c>
      <c r="L32" s="1">
        <v>1.85769771597677</v>
      </c>
      <c r="M32" s="1">
        <v>2.6184030652214201</v>
      </c>
      <c r="N32" s="1">
        <v>12.723099507718199</v>
      </c>
      <c r="O32" s="1">
        <v>14.6184897113168</v>
      </c>
      <c r="P32" s="1">
        <v>0.206418089478098</v>
      </c>
      <c r="Q32" s="1">
        <v>0.29843816820124802</v>
      </c>
      <c r="R32" s="1">
        <v>0.45551634483953402</v>
      </c>
      <c r="S32" s="1">
        <v>2.8066268992680402E-2</v>
      </c>
      <c r="T32" s="1">
        <v>2.2973379669543399E-2</v>
      </c>
      <c r="U32" s="1">
        <f t="shared" si="0"/>
        <v>9.4570437786047595E-2</v>
      </c>
      <c r="V32" s="1">
        <f t="shared" si="1"/>
        <v>5.9341885193316402E-2</v>
      </c>
      <c r="W32" s="1">
        <f t="shared" si="2"/>
        <v>0.40642387822131282</v>
      </c>
      <c r="X32" s="1">
        <f t="shared" si="3"/>
        <v>6.5937738213735176E-3</v>
      </c>
      <c r="Y32" s="1">
        <f t="shared" si="4"/>
        <v>8.9654269262674975E-4</v>
      </c>
      <c r="Z32" s="1">
        <f t="shared" si="5"/>
        <v>1.2070481421118703E-2</v>
      </c>
      <c r="AA32" s="1">
        <f t="shared" si="6"/>
        <v>7.4916294257187559E-3</v>
      </c>
      <c r="AB32" s="1">
        <f t="shared" si="7"/>
        <v>1.5633821664166537E-2</v>
      </c>
      <c r="AC32" s="1">
        <f t="shared" si="8"/>
        <v>3.5920311835070862E-4</v>
      </c>
      <c r="AD32" s="1">
        <f t="shared" si="9"/>
        <v>3.2907033470401443E-3</v>
      </c>
    </row>
    <row r="33" spans="1:30" x14ac:dyDescent="0.2">
      <c r="A33" t="s">
        <v>55</v>
      </c>
      <c r="B33" t="s">
        <v>31</v>
      </c>
      <c r="C33" t="s">
        <v>29</v>
      </c>
      <c r="D33" t="s">
        <v>28</v>
      </c>
      <c r="E33" t="s">
        <v>78</v>
      </c>
      <c r="F33">
        <v>3</v>
      </c>
      <c r="G33">
        <v>1.8785000000000001</v>
      </c>
      <c r="H33" s="2">
        <v>0.01</v>
      </c>
      <c r="I33" s="2">
        <f t="shared" si="11"/>
        <v>6</v>
      </c>
      <c r="J33" s="1">
        <v>1.5836778399701701</v>
      </c>
      <c r="K33" s="1">
        <v>27.8955045930587</v>
      </c>
      <c r="L33" s="1">
        <v>1.8931229396620599</v>
      </c>
      <c r="M33" s="1">
        <v>2.6393037285314298</v>
      </c>
      <c r="N33" s="1">
        <v>15.2296957071101</v>
      </c>
      <c r="O33" s="1">
        <v>17.657904970949701</v>
      </c>
      <c r="P33" s="1">
        <v>0.34005358161696297</v>
      </c>
      <c r="Q33" s="1">
        <v>0.55388210812705696</v>
      </c>
      <c r="R33" s="1">
        <v>0.55866445666311304</v>
      </c>
      <c r="S33" s="1">
        <v>2.6241576305456898E-2</v>
      </c>
      <c r="T33" s="1">
        <v>2.2135032891349798E-2</v>
      </c>
      <c r="U33" s="1">
        <f t="shared" si="0"/>
        <v>5.0583268777327765E-2</v>
      </c>
      <c r="V33" s="1">
        <f t="shared" si="1"/>
        <v>6.0467062219709121E-2</v>
      </c>
      <c r="W33" s="1">
        <f t="shared" si="2"/>
        <v>0.48644223711823581</v>
      </c>
      <c r="X33" s="1">
        <f t="shared" si="3"/>
        <v>1.0861439923884896E-2</v>
      </c>
      <c r="Y33" s="1">
        <f t="shared" si="4"/>
        <v>8.381658654923684E-4</v>
      </c>
      <c r="Z33" s="1">
        <f t="shared" si="5"/>
        <v>9.5798300716036025E-3</v>
      </c>
      <c r="AA33" s="1">
        <f t="shared" si="6"/>
        <v>7.3478052874663856E-3</v>
      </c>
      <c r="AB33" s="1">
        <f t="shared" si="7"/>
        <v>2.0011795244501411E-2</v>
      </c>
      <c r="AC33" s="1">
        <f t="shared" si="8"/>
        <v>8.345971553750381E-4</v>
      </c>
      <c r="AD33" s="1">
        <f t="shared" si="9"/>
        <v>4.0983949161414466E-3</v>
      </c>
    </row>
    <row r="34" spans="1:30" x14ac:dyDescent="0.2">
      <c r="A34" t="s">
        <v>56</v>
      </c>
      <c r="B34" t="s">
        <v>47</v>
      </c>
      <c r="C34" t="s">
        <v>26</v>
      </c>
      <c r="D34" t="s">
        <v>28</v>
      </c>
      <c r="E34" t="s">
        <v>78</v>
      </c>
      <c r="F34">
        <v>1</v>
      </c>
      <c r="G34">
        <v>0.68130000000000002</v>
      </c>
      <c r="H34" s="2">
        <v>0.01</v>
      </c>
      <c r="I34" s="2">
        <f>11.4/2</f>
        <v>5.7</v>
      </c>
      <c r="J34" s="1">
        <v>2.76645539996243</v>
      </c>
      <c r="K34" s="1">
        <v>6.1461470396947799</v>
      </c>
      <c r="L34" s="1">
        <v>3.7337279525371301</v>
      </c>
      <c r="M34" s="1">
        <v>4.9681069024593398</v>
      </c>
      <c r="N34" s="1">
        <v>71.088479862647404</v>
      </c>
      <c r="O34" s="1">
        <v>68.397668443675798</v>
      </c>
      <c r="P34" s="1">
        <v>4.4016381331812404</v>
      </c>
      <c r="Q34" s="1">
        <v>5.2095750714791196</v>
      </c>
      <c r="R34" s="1">
        <v>0.64726314376712402</v>
      </c>
      <c r="S34" s="1">
        <v>0.108633147907801</v>
      </c>
      <c r="T34" s="1">
        <v>0.100279032070497</v>
      </c>
      <c r="U34" s="1">
        <f t="shared" si="0"/>
        <v>0.23145157463358068</v>
      </c>
      <c r="V34" s="1">
        <f t="shared" si="1"/>
        <v>0.31237706340028831</v>
      </c>
      <c r="W34" s="1">
        <f t="shared" si="2"/>
        <v>5.9475170294597133</v>
      </c>
      <c r="X34" s="1">
        <f t="shared" si="3"/>
        <v>0.36825682311952257</v>
      </c>
      <c r="Y34" s="1">
        <f t="shared" si="4"/>
        <v>9.0886385303752485E-3</v>
      </c>
      <c r="Z34" s="1">
        <f t="shared" si="5"/>
        <v>3.2231483708712997E-3</v>
      </c>
      <c r="AA34" s="1">
        <f t="shared" si="6"/>
        <v>3.1838932518535132E-2</v>
      </c>
      <c r="AB34" s="1">
        <f t="shared" si="7"/>
        <v>2.4094597519811422E-2</v>
      </c>
      <c r="AC34" s="1">
        <f t="shared" si="8"/>
        <v>8.2600968002642713E-3</v>
      </c>
      <c r="AD34" s="1">
        <f t="shared" si="9"/>
        <v>1.0860355574812153E-2</v>
      </c>
    </row>
    <row r="35" spans="1:30" x14ac:dyDescent="0.2">
      <c r="A35" t="s">
        <v>57</v>
      </c>
      <c r="B35" t="s">
        <v>47</v>
      </c>
      <c r="C35" t="s">
        <v>26</v>
      </c>
      <c r="D35" t="s">
        <v>28</v>
      </c>
      <c r="E35" t="s">
        <v>78</v>
      </c>
      <c r="F35">
        <v>2</v>
      </c>
      <c r="G35">
        <v>0.88580000000000003</v>
      </c>
      <c r="H35" s="2">
        <v>0.01</v>
      </c>
      <c r="I35" s="2">
        <f>11.2/2</f>
        <v>5.6</v>
      </c>
      <c r="J35" s="1">
        <v>3.1528523809693598</v>
      </c>
      <c r="K35" s="1">
        <v>7.01708748993995</v>
      </c>
      <c r="L35" s="1">
        <v>4.2273230285225898</v>
      </c>
      <c r="M35" s="1">
        <v>5.7106665191798802</v>
      </c>
      <c r="N35" s="1">
        <v>86.533229599968294</v>
      </c>
      <c r="O35" s="1">
        <v>83.516743735837494</v>
      </c>
      <c r="P35" s="1">
        <v>2.3188670107337699</v>
      </c>
      <c r="Q35" s="1">
        <v>3.0990759973350901</v>
      </c>
      <c r="R35" s="1">
        <v>0.63599133643567196</v>
      </c>
      <c r="S35" s="1">
        <v>0.10939125453000199</v>
      </c>
      <c r="T35" s="1">
        <v>9.9325133495487702E-2</v>
      </c>
      <c r="U35" s="1">
        <f t="shared" si="0"/>
        <v>0.19932234515046751</v>
      </c>
      <c r="V35" s="1">
        <f t="shared" si="1"/>
        <v>0.26725004470226349</v>
      </c>
      <c r="W35" s="1">
        <f t="shared" si="2"/>
        <v>5.4706038130483456</v>
      </c>
      <c r="X35" s="1">
        <f t="shared" si="3"/>
        <v>0.14659804989962871</v>
      </c>
      <c r="Y35" s="1">
        <f t="shared" si="4"/>
        <v>6.9156810269588075E-3</v>
      </c>
      <c r="Z35" s="1">
        <f t="shared" si="5"/>
        <v>2.7847271352457914E-3</v>
      </c>
      <c r="AA35" s="1">
        <f t="shared" si="6"/>
        <v>2.8911299048882354E-2</v>
      </c>
      <c r="AB35" s="1">
        <f t="shared" si="7"/>
        <v>2.604984927927316E-2</v>
      </c>
      <c r="AC35" s="1">
        <f t="shared" si="8"/>
        <v>6.027462335866058E-3</v>
      </c>
      <c r="AD35" s="1">
        <f t="shared" si="9"/>
        <v>8.0232498367565162E-3</v>
      </c>
    </row>
    <row r="36" spans="1:30" x14ac:dyDescent="0.2">
      <c r="A36" t="s">
        <v>58</v>
      </c>
      <c r="B36" t="s">
        <v>47</v>
      </c>
      <c r="C36" t="s">
        <v>26</v>
      </c>
      <c r="D36" t="s">
        <v>28</v>
      </c>
      <c r="E36" t="s">
        <v>78</v>
      </c>
      <c r="F36">
        <v>3</v>
      </c>
      <c r="G36">
        <v>0.66400000000000003</v>
      </c>
      <c r="H36" s="2">
        <v>0.01</v>
      </c>
      <c r="I36" s="2">
        <f>11.2/2</f>
        <v>5.6</v>
      </c>
      <c r="J36" s="1">
        <v>2.1717420583468101</v>
      </c>
      <c r="K36" s="1">
        <v>5.1125221507152601</v>
      </c>
      <c r="L36" s="1">
        <v>4.8640088572665299</v>
      </c>
      <c r="M36" s="1">
        <v>5.8300255494782904</v>
      </c>
      <c r="N36" s="1">
        <v>87.226893784720701</v>
      </c>
      <c r="O36" s="1">
        <v>82.909431115901697</v>
      </c>
      <c r="P36" s="1">
        <v>4.05272995310676</v>
      </c>
      <c r="Q36" s="1">
        <v>4.6716529078667</v>
      </c>
      <c r="R36" s="1">
        <v>0.59474343893063497</v>
      </c>
      <c r="S36" s="1">
        <v>9.5259840227278902E-2</v>
      </c>
      <c r="T36" s="1">
        <v>8.9159461188111605E-2</v>
      </c>
      <c r="U36" s="1">
        <f t="shared" si="0"/>
        <v>0.183158968776237</v>
      </c>
      <c r="V36" s="1">
        <f t="shared" si="1"/>
        <v>0.41021761446826149</v>
      </c>
      <c r="W36" s="1">
        <f t="shared" si="2"/>
        <v>7.3564850179884926</v>
      </c>
      <c r="X36" s="1">
        <f t="shared" si="3"/>
        <v>0.34179650206924483</v>
      </c>
      <c r="Y36" s="1">
        <f t="shared" si="4"/>
        <v>8.0339624288066555E-3</v>
      </c>
      <c r="Z36" s="1">
        <f t="shared" si="5"/>
        <v>2.8271526013295867E-3</v>
      </c>
      <c r="AA36" s="1">
        <f t="shared" si="6"/>
        <v>2.5117597873038557E-2</v>
      </c>
      <c r="AB36" s="1">
        <f t="shared" si="7"/>
        <v>1.3551621253207045E-2</v>
      </c>
      <c r="AC36" s="1">
        <f t="shared" si="8"/>
        <v>6.3786348855620796E-3</v>
      </c>
      <c r="AD36" s="1">
        <f t="shared" si="9"/>
        <v>1.015215459051279E-2</v>
      </c>
    </row>
    <row r="37" spans="1:30" x14ac:dyDescent="0.2">
      <c r="A37" t="s">
        <v>59</v>
      </c>
      <c r="B37" t="s">
        <v>47</v>
      </c>
      <c r="C37" t="s">
        <v>24</v>
      </c>
      <c r="D37" t="s">
        <v>28</v>
      </c>
      <c r="E37" t="s">
        <v>78</v>
      </c>
      <c r="F37">
        <v>1</v>
      </c>
      <c r="G37">
        <v>0.14000000000000001</v>
      </c>
      <c r="H37" s="2">
        <v>0.01</v>
      </c>
      <c r="I37" s="2">
        <f>11.5/2</f>
        <v>5.75</v>
      </c>
      <c r="J37" s="1">
        <v>1.93668739858471</v>
      </c>
      <c r="K37" s="1">
        <v>3.18983122143799</v>
      </c>
      <c r="L37" s="1">
        <v>3.9669773176482601</v>
      </c>
      <c r="M37" s="1">
        <v>4.7022496866344303</v>
      </c>
      <c r="N37" s="1">
        <v>19.571090362511999</v>
      </c>
      <c r="O37" s="1">
        <v>18.960915966544</v>
      </c>
      <c r="P37" s="1">
        <v>0.52453679984284296</v>
      </c>
      <c r="Q37" s="1">
        <v>0.71239929630688004</v>
      </c>
      <c r="R37" s="1">
        <v>0.35449962677217101</v>
      </c>
      <c r="S37" s="1">
        <v>0.12704070757477201</v>
      </c>
      <c r="T37" s="1">
        <v>0.11709126289102301</v>
      </c>
      <c r="U37" s="1">
        <f t="shared" si="0"/>
        <v>0.79542518156157715</v>
      </c>
      <c r="V37" s="1">
        <f t="shared" si="1"/>
        <v>1.6292942554626781</v>
      </c>
      <c r="W37" s="1">
        <f t="shared" si="2"/>
        <v>8.0381263988888563</v>
      </c>
      <c r="X37" s="1">
        <f t="shared" si="3"/>
        <v>0.2154347570783105</v>
      </c>
      <c r="Y37" s="1">
        <f t="shared" si="4"/>
        <v>5.2177433468209931E-2</v>
      </c>
      <c r="Z37" s="1">
        <f t="shared" si="5"/>
        <v>5.8668837150750771E-3</v>
      </c>
      <c r="AA37" s="1">
        <f t="shared" si="6"/>
        <v>9.3102550736500603E-2</v>
      </c>
      <c r="AB37" s="1">
        <f t="shared" si="7"/>
        <v>2.9897335677624468E-2</v>
      </c>
      <c r="AC37" s="1">
        <f t="shared" si="8"/>
        <v>9.4286845100325471E-3</v>
      </c>
      <c r="AD37" s="1">
        <f t="shared" si="9"/>
        <v>2.2514371234128257E-2</v>
      </c>
    </row>
    <row r="38" spans="1:30" x14ac:dyDescent="0.2">
      <c r="A38" t="s">
        <v>60</v>
      </c>
      <c r="B38" t="s">
        <v>47</v>
      </c>
      <c r="C38" t="s">
        <v>24</v>
      </c>
      <c r="D38" t="s">
        <v>28</v>
      </c>
      <c r="E38" t="s">
        <v>78</v>
      </c>
      <c r="F38">
        <v>2</v>
      </c>
      <c r="G38">
        <v>9.5100000000000004E-2</v>
      </c>
      <c r="H38" s="2">
        <v>0.01</v>
      </c>
      <c r="I38" s="2">
        <f t="shared" ref="I38" si="12">11.8/2</f>
        <v>5.9</v>
      </c>
      <c r="J38" s="1">
        <v>2.38555470263853</v>
      </c>
      <c r="K38" s="1">
        <v>3.0398860815887199</v>
      </c>
      <c r="L38" s="1">
        <v>2.5860980229864201</v>
      </c>
      <c r="M38" s="1">
        <v>3.0256250072244901</v>
      </c>
      <c r="N38" s="1">
        <v>15.4517854229621</v>
      </c>
      <c r="O38" s="1">
        <v>14.8353721269585</v>
      </c>
      <c r="P38" s="1">
        <v>0.42668238667319902</v>
      </c>
      <c r="Q38" s="1">
        <v>0.63095904635021405</v>
      </c>
      <c r="R38" s="1">
        <v>0.22938816191289299</v>
      </c>
      <c r="S38" s="1">
        <v>4.05786116031207E-2</v>
      </c>
      <c r="T38" s="1">
        <v>3.9275030205739199E-2</v>
      </c>
      <c r="U38" s="1">
        <f t="shared" si="0"/>
        <v>1.4799971341290568</v>
      </c>
      <c r="V38" s="1">
        <f t="shared" si="1"/>
        <v>1.6044141257223847</v>
      </c>
      <c r="W38" s="1">
        <f t="shared" si="2"/>
        <v>9.5862811772320082</v>
      </c>
      <c r="X38" s="1">
        <f t="shared" si="3"/>
        <v>0.26471357322522338</v>
      </c>
      <c r="Y38" s="1">
        <f t="shared" si="4"/>
        <v>2.5174953570810951E-2</v>
      </c>
      <c r="Z38" s="1">
        <f t="shared" si="5"/>
        <v>4.6273888531076727E-3</v>
      </c>
      <c r="AA38" s="1">
        <f t="shared" si="6"/>
        <v>8.4067970401632205E-2</v>
      </c>
      <c r="AB38" s="1">
        <f t="shared" si="7"/>
        <v>1.3096145188658401E-2</v>
      </c>
      <c r="AC38" s="1">
        <f t="shared" si="8"/>
        <v>1.5486791387374795E-2</v>
      </c>
      <c r="AD38" s="1">
        <f t="shared" si="9"/>
        <v>2.8230105108881725E-2</v>
      </c>
    </row>
    <row r="39" spans="1:30" x14ac:dyDescent="0.2">
      <c r="A39" t="s">
        <v>61</v>
      </c>
      <c r="B39" t="s">
        <v>47</v>
      </c>
      <c r="C39" t="s">
        <v>24</v>
      </c>
      <c r="D39" t="s">
        <v>28</v>
      </c>
      <c r="E39" t="s">
        <v>78</v>
      </c>
      <c r="F39">
        <v>3</v>
      </c>
      <c r="G39">
        <v>0.12570000000000001</v>
      </c>
      <c r="H39" s="2">
        <v>0.01</v>
      </c>
      <c r="I39" s="2">
        <f>11.5/2</f>
        <v>5.75</v>
      </c>
      <c r="J39" s="1">
        <v>1.8985198179931799</v>
      </c>
      <c r="K39" s="1">
        <v>2.9251294549510698</v>
      </c>
      <c r="L39" s="1">
        <v>2.8894171894997398</v>
      </c>
      <c r="M39" s="1">
        <v>3.3197358258220602</v>
      </c>
      <c r="N39" s="1">
        <v>20.532908957888601</v>
      </c>
      <c r="O39" s="1">
        <v>19.820212988405601</v>
      </c>
      <c r="P39" s="1">
        <v>0.63228820621535897</v>
      </c>
      <c r="Q39" s="1">
        <v>0.79681804744742901</v>
      </c>
      <c r="R39" s="1">
        <v>0.24855618790221301</v>
      </c>
      <c r="S39" s="1">
        <v>6.4134079720592402E-2</v>
      </c>
      <c r="T39" s="1">
        <v>5.4927213945733501E-2</v>
      </c>
      <c r="U39" s="1">
        <f t="shared" si="0"/>
        <v>0.86845576399847135</v>
      </c>
      <c r="V39" s="1">
        <f t="shared" si="1"/>
        <v>1.321730217949364</v>
      </c>
      <c r="W39" s="1">
        <f t="shared" si="2"/>
        <v>9.3925398972044114</v>
      </c>
      <c r="X39" s="1">
        <f t="shared" si="3"/>
        <v>0.28923287078268212</v>
      </c>
      <c r="Y39" s="1">
        <f t="shared" si="4"/>
        <v>2.9337387302578066E-2</v>
      </c>
      <c r="Z39" s="1">
        <f t="shared" si="5"/>
        <v>5.3530913840236409E-3</v>
      </c>
      <c r="AA39" s="1">
        <f t="shared" si="6"/>
        <v>6.0687080713960652E-2</v>
      </c>
      <c r="AB39" s="1">
        <f t="shared" si="7"/>
        <v>2.9318244491196539E-2</v>
      </c>
      <c r="AC39" s="1">
        <f t="shared" si="8"/>
        <v>9.1970479667234685E-3</v>
      </c>
      <c r="AD39" s="1">
        <f t="shared" si="9"/>
        <v>2.0331180303315891E-2</v>
      </c>
    </row>
    <row r="40" spans="1:30" x14ac:dyDescent="0.2">
      <c r="A40" t="s">
        <v>62</v>
      </c>
      <c r="B40" t="s">
        <v>47</v>
      </c>
      <c r="C40" t="s">
        <v>25</v>
      </c>
      <c r="D40" t="s">
        <v>28</v>
      </c>
      <c r="E40" t="s">
        <v>78</v>
      </c>
      <c r="F40">
        <v>1</v>
      </c>
      <c r="G40">
        <v>0.22670000000000001</v>
      </c>
      <c r="H40" s="2">
        <v>0.01</v>
      </c>
      <c r="I40" s="2">
        <f t="shared" ref="I40" si="13">11.8/2</f>
        <v>5.9</v>
      </c>
      <c r="J40" s="1">
        <v>2.3357404899723999</v>
      </c>
      <c r="K40" s="1">
        <v>4.7374122462323198</v>
      </c>
      <c r="L40" s="1">
        <v>1.9552751444846801</v>
      </c>
      <c r="M40" s="1">
        <v>2.5415931857748499</v>
      </c>
      <c r="N40" s="1">
        <v>19.662924020256</v>
      </c>
      <c r="O40" s="1">
        <v>18.9411973394567</v>
      </c>
      <c r="P40" s="1">
        <v>9.03384668627106</v>
      </c>
      <c r="Q40" s="1">
        <v>10.1029492596975</v>
      </c>
      <c r="R40" s="1">
        <v>1.14725295915169</v>
      </c>
      <c r="S40" s="1">
        <v>0.16129351063823499</v>
      </c>
      <c r="T40" s="1">
        <v>0.149989510141393</v>
      </c>
      <c r="U40" s="1">
        <f t="shared" si="0"/>
        <v>0.60789011428483286</v>
      </c>
      <c r="V40" s="1">
        <f t="shared" si="1"/>
        <v>0.50887178440492342</v>
      </c>
      <c r="W40" s="1">
        <f t="shared" si="2"/>
        <v>5.1173909007282932</v>
      </c>
      <c r="X40" s="1">
        <f t="shared" si="3"/>
        <v>2.3511114004851903</v>
      </c>
      <c r="Y40" s="1">
        <f t="shared" si="4"/>
        <v>4.1977578860414054E-2</v>
      </c>
      <c r="Z40" s="1">
        <f t="shared" si="5"/>
        <v>7.1249348241147013E-3</v>
      </c>
      <c r="AA40" s="1">
        <f t="shared" si="6"/>
        <v>4.7044328520757843E-2</v>
      </c>
      <c r="AB40" s="1">
        <f t="shared" si="7"/>
        <v>1.3438575541613824E-2</v>
      </c>
      <c r="AC40" s="1">
        <f t="shared" si="8"/>
        <v>3.4000951627216343E-2</v>
      </c>
      <c r="AD40" s="1">
        <f t="shared" si="9"/>
        <v>6.1841011903011986E-2</v>
      </c>
    </row>
    <row r="41" spans="1:30" x14ac:dyDescent="0.2">
      <c r="A41" t="s">
        <v>63</v>
      </c>
      <c r="B41" t="s">
        <v>47</v>
      </c>
      <c r="C41" t="s">
        <v>25</v>
      </c>
      <c r="D41" t="s">
        <v>28</v>
      </c>
      <c r="E41" t="s">
        <v>78</v>
      </c>
      <c r="F41">
        <v>2</v>
      </c>
      <c r="G41">
        <v>0.2412</v>
      </c>
      <c r="H41" s="2">
        <v>0.01</v>
      </c>
      <c r="I41" s="2">
        <f t="shared" ref="I41:I42" si="14">11.5/2</f>
        <v>5.75</v>
      </c>
      <c r="J41" s="1">
        <v>5.6028188121187403</v>
      </c>
      <c r="K41" s="1">
        <v>9.2215525198774007</v>
      </c>
      <c r="L41" s="1">
        <v>2.7979030463877201</v>
      </c>
      <c r="M41" s="1">
        <v>3.5497261602915402</v>
      </c>
      <c r="N41" s="1">
        <v>79.632524419974501</v>
      </c>
      <c r="O41" s="1">
        <v>76.348817712170799</v>
      </c>
      <c r="P41" s="1">
        <v>8.2646412688139606</v>
      </c>
      <c r="Q41" s="1">
        <v>10.188796739507101</v>
      </c>
      <c r="R41" s="1">
        <v>2.9884654783053799</v>
      </c>
      <c r="S41" s="1">
        <v>0.67766911668669405</v>
      </c>
      <c r="T41" s="1">
        <v>0.63448826580260997</v>
      </c>
      <c r="U41" s="1">
        <f t="shared" si="0"/>
        <v>1.3356636886269802</v>
      </c>
      <c r="V41" s="1">
        <f t="shared" si="1"/>
        <v>0.6669959584050329</v>
      </c>
      <c r="W41" s="1">
        <f t="shared" si="2"/>
        <v>18.983707106751801</v>
      </c>
      <c r="X41" s="1">
        <f t="shared" si="3"/>
        <v>1.9702192079469434</v>
      </c>
      <c r="Y41" s="1">
        <f t="shared" si="4"/>
        <v>0.16155047350532714</v>
      </c>
      <c r="Z41" s="1">
        <f t="shared" si="5"/>
        <v>9.8336312945588953E-3</v>
      </c>
      <c r="AA41" s="1">
        <f t="shared" si="6"/>
        <v>5.5256037711241685E-2</v>
      </c>
      <c r="AB41" s="1">
        <f t="shared" si="7"/>
        <v>6.5362732676131532E-2</v>
      </c>
      <c r="AC41" s="1">
        <f t="shared" si="8"/>
        <v>5.605339309629085E-2</v>
      </c>
      <c r="AD41" s="1">
        <f t="shared" si="9"/>
        <v>0.13276061600800557</v>
      </c>
    </row>
    <row r="42" spans="1:30" x14ac:dyDescent="0.2">
      <c r="A42" t="s">
        <v>64</v>
      </c>
      <c r="B42" t="s">
        <v>47</v>
      </c>
      <c r="C42" t="s">
        <v>25</v>
      </c>
      <c r="D42" t="s">
        <v>28</v>
      </c>
      <c r="E42" t="s">
        <v>78</v>
      </c>
      <c r="F42">
        <v>3</v>
      </c>
      <c r="G42">
        <v>0.20649999999999999</v>
      </c>
      <c r="H42" s="2">
        <v>0.01</v>
      </c>
      <c r="I42" s="2">
        <f t="shared" si="14"/>
        <v>5.75</v>
      </c>
      <c r="J42" s="1">
        <v>3.80802906033911</v>
      </c>
      <c r="K42" s="1">
        <v>6.3128352860949297</v>
      </c>
      <c r="L42" s="1">
        <v>28.205821897742499</v>
      </c>
      <c r="M42" s="1">
        <v>28.458451437361699</v>
      </c>
      <c r="N42" s="1">
        <v>25.533761304831099</v>
      </c>
      <c r="O42" s="1">
        <v>24.147634897318401</v>
      </c>
      <c r="P42" s="1">
        <v>8.4063823332375502</v>
      </c>
      <c r="Q42" s="1">
        <v>9.1787070777502109</v>
      </c>
      <c r="R42" s="1">
        <v>1.3427827069645399</v>
      </c>
      <c r="S42" s="1">
        <v>0.28792024225972301</v>
      </c>
      <c r="T42" s="1">
        <v>0.26958962583895901</v>
      </c>
      <c r="U42" s="1">
        <f t="shared" si="0"/>
        <v>1.0603470749128272</v>
      </c>
      <c r="V42" s="3">
        <f t="shared" si="1"/>
        <v>7.85392135167164</v>
      </c>
      <c r="W42" s="1">
        <f t="shared" si="2"/>
        <v>7.1098851090934065</v>
      </c>
      <c r="X42" s="1">
        <f t="shared" si="3"/>
        <v>2.3407602138554924</v>
      </c>
      <c r="Y42" s="1">
        <f t="shared" si="4"/>
        <v>8.0171496028736425E-2</v>
      </c>
      <c r="Z42" s="1">
        <f t="shared" si="5"/>
        <v>7.9503944533896309E-3</v>
      </c>
      <c r="AA42" s="1">
        <f t="shared" si="6"/>
        <v>2.168729785091748E-2</v>
      </c>
      <c r="AB42" s="1">
        <v>0</v>
      </c>
      <c r="AC42" s="1">
        <f t="shared" si="8"/>
        <v>2.6279611706141459E-2</v>
      </c>
      <c r="AD42" s="1">
        <f t="shared" si="9"/>
        <v>7.0788167576983044E-2</v>
      </c>
    </row>
    <row r="43" spans="1:30" x14ac:dyDescent="0.2">
      <c r="A43" t="s">
        <v>65</v>
      </c>
      <c r="B43" t="s">
        <v>47</v>
      </c>
      <c r="C43" t="s">
        <v>29</v>
      </c>
      <c r="D43" t="s">
        <v>28</v>
      </c>
      <c r="E43" t="s">
        <v>78</v>
      </c>
      <c r="F43">
        <v>1</v>
      </c>
      <c r="G43">
        <v>1.048</v>
      </c>
      <c r="H43" s="2">
        <v>0.01</v>
      </c>
      <c r="I43" s="2">
        <f t="shared" ref="I43:I45" si="15">12/2</f>
        <v>6</v>
      </c>
      <c r="J43" s="1">
        <v>3.0527352504787899</v>
      </c>
      <c r="K43" s="1">
        <v>26.184512851614901</v>
      </c>
      <c r="L43" s="1">
        <v>3.6290926456720798</v>
      </c>
      <c r="M43" s="1">
        <v>5.0100116844593199</v>
      </c>
      <c r="N43" s="1">
        <v>14.2809834426183</v>
      </c>
      <c r="O43" s="1">
        <v>14.484491325451399</v>
      </c>
      <c r="P43" s="1">
        <v>0.23262650795739301</v>
      </c>
      <c r="Q43" s="1">
        <v>0.28391596313074602</v>
      </c>
      <c r="R43" s="1">
        <v>0.40276438927552499</v>
      </c>
      <c r="S43" s="1">
        <v>0.11282839640822299</v>
      </c>
      <c r="T43" s="1">
        <v>0.109498569853056</v>
      </c>
      <c r="U43" s="1">
        <f t="shared" si="0"/>
        <v>0.17477491892054139</v>
      </c>
      <c r="V43" s="1">
        <f t="shared" si="1"/>
        <v>0.20777247971405038</v>
      </c>
      <c r="W43" s="1">
        <f t="shared" si="2"/>
        <v>0.81761355587509355</v>
      </c>
      <c r="X43" s="1">
        <f t="shared" si="3"/>
        <v>1.3318311524278224E-2</v>
      </c>
      <c r="Y43" s="1">
        <f t="shared" si="4"/>
        <v>6.4596410157379573E-3</v>
      </c>
      <c r="Z43" s="1">
        <f t="shared" si="5"/>
        <v>1.509613356156587E-2</v>
      </c>
      <c r="AA43" s="1">
        <f t="shared" si="6"/>
        <v>2.4374275171265614E-2</v>
      </c>
      <c r="AB43" s="1">
        <f t="shared" si="7"/>
        <v>9.7642060284850851E-3</v>
      </c>
      <c r="AC43" s="1">
        <f t="shared" si="8"/>
        <v>3.5883042493418347E-4</v>
      </c>
      <c r="AD43" s="1">
        <f t="shared" si="9"/>
        <v>4.0004527260125823E-3</v>
      </c>
    </row>
    <row r="44" spans="1:30" x14ac:dyDescent="0.2">
      <c r="A44" t="s">
        <v>66</v>
      </c>
      <c r="B44" t="s">
        <v>47</v>
      </c>
      <c r="C44" t="s">
        <v>29</v>
      </c>
      <c r="D44" t="s">
        <v>28</v>
      </c>
      <c r="E44" t="s">
        <v>78</v>
      </c>
      <c r="F44">
        <v>2</v>
      </c>
      <c r="G44">
        <v>1.2221</v>
      </c>
      <c r="H44" s="2">
        <v>0.01</v>
      </c>
      <c r="I44" s="2">
        <f t="shared" si="15"/>
        <v>6</v>
      </c>
      <c r="J44" s="1">
        <v>2.8517064830921699</v>
      </c>
      <c r="K44" s="1">
        <v>24.4866202816584</v>
      </c>
      <c r="L44" s="1">
        <v>2.37947573514808</v>
      </c>
      <c r="M44" s="1">
        <v>3.6405503166569302</v>
      </c>
      <c r="N44" s="1">
        <v>26.100243460543101</v>
      </c>
      <c r="O44" s="1">
        <v>27.2557357842641</v>
      </c>
      <c r="P44" s="1">
        <v>0.106837065500433</v>
      </c>
      <c r="Q44" s="1">
        <v>0.174658091726693</v>
      </c>
      <c r="R44" s="1">
        <v>0.25691202473741498</v>
      </c>
      <c r="S44" s="1">
        <v>1.8007690599929699E-2</v>
      </c>
      <c r="T44" s="1">
        <v>1.54563165412043E-2</v>
      </c>
      <c r="U44" s="1">
        <f t="shared" si="0"/>
        <v>0.14000686440187399</v>
      </c>
      <c r="V44" s="1">
        <f t="shared" si="1"/>
        <v>0.11682230922910138</v>
      </c>
      <c r="W44" s="1">
        <f t="shared" si="2"/>
        <v>1.2814128202541415</v>
      </c>
      <c r="X44" s="1">
        <f t="shared" si="3"/>
        <v>5.2452531953407905E-3</v>
      </c>
      <c r="Y44" s="1">
        <f t="shared" si="4"/>
        <v>8.8410231240960806E-4</v>
      </c>
      <c r="Z44" s="1">
        <f t="shared" si="5"/>
        <v>1.2107833191548472E-2</v>
      </c>
      <c r="AA44" s="1">
        <f t="shared" si="6"/>
        <v>1.9087928654570586E-2</v>
      </c>
      <c r="AB44" s="1">
        <f t="shared" si="7"/>
        <v>2.4814033777070976E-2</v>
      </c>
      <c r="AC44" s="1">
        <f t="shared" si="8"/>
        <v>4.0689286006950195E-4</v>
      </c>
      <c r="AD44" s="1">
        <f t="shared" si="9"/>
        <v>2.8267381324179994E-3</v>
      </c>
    </row>
    <row r="45" spans="1:30" x14ac:dyDescent="0.2">
      <c r="A45" t="s">
        <v>67</v>
      </c>
      <c r="B45" t="s">
        <v>47</v>
      </c>
      <c r="C45" t="s">
        <v>29</v>
      </c>
      <c r="D45" t="s">
        <v>28</v>
      </c>
      <c r="E45" t="s">
        <v>78</v>
      </c>
      <c r="F45">
        <v>3</v>
      </c>
      <c r="G45">
        <v>0.99620000000000009</v>
      </c>
      <c r="H45" s="2">
        <v>0.01</v>
      </c>
      <c r="I45" s="2">
        <f t="shared" si="15"/>
        <v>6</v>
      </c>
      <c r="J45" s="1">
        <v>2.2343605995427702</v>
      </c>
      <c r="K45" s="1">
        <v>17.103231686534102</v>
      </c>
      <c r="L45" s="1">
        <v>1.5315451396439499</v>
      </c>
      <c r="M45" s="1">
        <v>2.1509810736635302</v>
      </c>
      <c r="N45" s="1">
        <v>17.428765624177</v>
      </c>
      <c r="O45" s="1">
        <v>17.765851270151298</v>
      </c>
      <c r="P45" s="1">
        <v>0.13233111054306901</v>
      </c>
      <c r="Q45" s="1">
        <v>0.187948677346296</v>
      </c>
      <c r="R45" s="1">
        <v>0.25845120907264701</v>
      </c>
      <c r="S45" s="1">
        <v>2.20349004431321E-2</v>
      </c>
      <c r="T45" s="1">
        <v>1.7579567588718498E-2</v>
      </c>
      <c r="U45" s="1">
        <f t="shared" si="0"/>
        <v>0.1345730134235758</v>
      </c>
      <c r="V45" s="1">
        <f t="shared" si="1"/>
        <v>9.2243232662755456E-2</v>
      </c>
      <c r="W45" s="1">
        <f t="shared" si="2"/>
        <v>1.0497148538954226</v>
      </c>
      <c r="X45" s="1">
        <f t="shared" si="3"/>
        <v>7.9701532148003813E-3</v>
      </c>
      <c r="Y45" s="1">
        <f t="shared" si="4"/>
        <v>1.3271371477493737E-3</v>
      </c>
      <c r="Z45" s="1">
        <f t="shared" si="5"/>
        <v>1.0208206877370859E-2</v>
      </c>
      <c r="AA45" s="1">
        <f t="shared" si="6"/>
        <v>1.1502033635308368E-2</v>
      </c>
      <c r="AB45" s="1">
        <f t="shared" si="7"/>
        <v>1.4200281524447097E-2</v>
      </c>
      <c r="AC45" s="1">
        <f t="shared" si="8"/>
        <v>4.0934350512071902E-4</v>
      </c>
      <c r="AD45" s="1">
        <f t="shared" si="9"/>
        <v>3.4316199787018525E-3</v>
      </c>
    </row>
    <row r="46" spans="1:30" x14ac:dyDescent="0.2">
      <c r="A46" t="s">
        <v>86</v>
      </c>
      <c r="B46" t="s">
        <v>31</v>
      </c>
      <c r="C46" t="s">
        <v>26</v>
      </c>
      <c r="D46" t="s">
        <v>85</v>
      </c>
      <c r="E46" t="s">
        <v>77</v>
      </c>
      <c r="F46">
        <v>1</v>
      </c>
      <c r="G46">
        <v>1.0448</v>
      </c>
      <c r="H46" s="2" t="s">
        <v>84</v>
      </c>
      <c r="I46" s="2" t="s">
        <v>84</v>
      </c>
      <c r="J46" s="2" t="s">
        <v>84</v>
      </c>
      <c r="K46" s="2" t="s">
        <v>84</v>
      </c>
      <c r="L46" s="2" t="s">
        <v>84</v>
      </c>
      <c r="M46" s="2" t="s">
        <v>84</v>
      </c>
      <c r="N46" s="2" t="s">
        <v>84</v>
      </c>
      <c r="O46" s="2" t="s">
        <v>84</v>
      </c>
      <c r="P46" s="2" t="s">
        <v>84</v>
      </c>
      <c r="Q46" s="2" t="s">
        <v>84</v>
      </c>
      <c r="R46" s="2" t="s">
        <v>84</v>
      </c>
      <c r="S46" s="2" t="s">
        <v>84</v>
      </c>
      <c r="T46" s="2" t="s">
        <v>84</v>
      </c>
      <c r="U46" s="1">
        <f>U2+U21</f>
        <v>0.4387941353357252</v>
      </c>
      <c r="V46" s="1">
        <f>V2+V21</f>
        <v>0.76955233329667039</v>
      </c>
      <c r="W46" s="1">
        <f t="shared" ref="W46:AD46" si="16">W2+W21</f>
        <v>12.616932557009923</v>
      </c>
      <c r="X46" s="1">
        <f t="shared" si="16"/>
        <v>1.7697513791036212</v>
      </c>
      <c r="Y46" s="1">
        <f t="shared" si="16"/>
        <v>5.5698929456248679E-2</v>
      </c>
      <c r="Z46" s="1">
        <f t="shared" si="16"/>
        <v>1.1662481984272371E-2</v>
      </c>
      <c r="AA46" s="1">
        <f t="shared" si="16"/>
        <v>3.9448418585530928E-2</v>
      </c>
      <c r="AB46" s="1">
        <f t="shared" si="16"/>
        <v>3.1441565811212935E-2</v>
      </c>
      <c r="AC46" s="1">
        <f t="shared" si="16"/>
        <v>1.0687071610627012E-2</v>
      </c>
      <c r="AD46" s="1">
        <f t="shared" si="16"/>
        <v>2.5062739731680529E-2</v>
      </c>
    </row>
    <row r="47" spans="1:30" x14ac:dyDescent="0.2">
      <c r="A47" t="s">
        <v>87</v>
      </c>
      <c r="B47" t="s">
        <v>31</v>
      </c>
      <c r="C47" t="s">
        <v>26</v>
      </c>
      <c r="D47" t="s">
        <v>85</v>
      </c>
      <c r="E47" t="s">
        <v>78</v>
      </c>
      <c r="F47">
        <v>2</v>
      </c>
      <c r="G47">
        <v>1.2302</v>
      </c>
      <c r="H47" s="2" t="s">
        <v>84</v>
      </c>
      <c r="I47" s="2" t="s">
        <v>84</v>
      </c>
      <c r="J47" s="2" t="s">
        <v>84</v>
      </c>
      <c r="K47" s="2" t="s">
        <v>84</v>
      </c>
      <c r="L47" s="2" t="s">
        <v>84</v>
      </c>
      <c r="M47" s="2" t="s">
        <v>84</v>
      </c>
      <c r="N47" s="2" t="s">
        <v>84</v>
      </c>
      <c r="O47" s="2" t="s">
        <v>84</v>
      </c>
      <c r="P47" s="2" t="s">
        <v>84</v>
      </c>
      <c r="Q47" s="2" t="s">
        <v>84</v>
      </c>
      <c r="R47" s="2" t="s">
        <v>84</v>
      </c>
      <c r="S47" s="2" t="s">
        <v>84</v>
      </c>
      <c r="T47" s="2" t="s">
        <v>84</v>
      </c>
      <c r="U47" s="1">
        <f t="shared" ref="U47:V55" si="17">U3+U22</f>
        <v>0.33970859056926755</v>
      </c>
      <c r="V47" s="1">
        <f t="shared" si="17"/>
        <v>0.59110119074216327</v>
      </c>
      <c r="W47" s="1">
        <f t="shared" ref="W47:AD47" si="18">W3+W22</f>
        <v>11.432276855345624</v>
      </c>
      <c r="X47" s="1">
        <f t="shared" si="18"/>
        <v>0.96020468520630065</v>
      </c>
      <c r="Y47" s="1">
        <f t="shared" si="18"/>
        <v>4.2462476029269287E-2</v>
      </c>
      <c r="Z47" s="1">
        <f t="shared" si="18"/>
        <v>9.0785428682930609E-3</v>
      </c>
      <c r="AA47" s="1">
        <f t="shared" si="18"/>
        <v>4.1880765825036616E-2</v>
      </c>
      <c r="AB47" s="1">
        <f t="shared" si="18"/>
        <v>5.1412557740795103E-2</v>
      </c>
      <c r="AC47" s="1">
        <f t="shared" si="18"/>
        <v>6.6164400571962602E-3</v>
      </c>
      <c r="AD47" s="1">
        <f t="shared" si="18"/>
        <v>1.6200435665375521E-2</v>
      </c>
    </row>
    <row r="48" spans="1:30" x14ac:dyDescent="0.2">
      <c r="A48" t="s">
        <v>88</v>
      </c>
      <c r="B48" t="s">
        <v>31</v>
      </c>
      <c r="C48" t="s">
        <v>26</v>
      </c>
      <c r="D48" t="s">
        <v>85</v>
      </c>
      <c r="E48" t="s">
        <v>78</v>
      </c>
      <c r="F48">
        <v>3</v>
      </c>
      <c r="G48">
        <v>1.2637</v>
      </c>
      <c r="H48" s="2" t="s">
        <v>84</v>
      </c>
      <c r="I48" s="2" t="s">
        <v>84</v>
      </c>
      <c r="J48" s="2" t="s">
        <v>84</v>
      </c>
      <c r="K48" s="2" t="s">
        <v>84</v>
      </c>
      <c r="L48" s="2" t="s">
        <v>84</v>
      </c>
      <c r="M48" s="2" t="s">
        <v>84</v>
      </c>
      <c r="N48" s="2" t="s">
        <v>84</v>
      </c>
      <c r="O48" s="2" t="s">
        <v>84</v>
      </c>
      <c r="P48" s="2" t="s">
        <v>84</v>
      </c>
      <c r="Q48" s="2" t="s">
        <v>84</v>
      </c>
      <c r="R48" s="2" t="s">
        <v>84</v>
      </c>
      <c r="S48" s="2" t="s">
        <v>84</v>
      </c>
      <c r="T48" s="2" t="s">
        <v>84</v>
      </c>
      <c r="U48" s="1">
        <f t="shared" si="17"/>
        <v>0.34687192957771329</v>
      </c>
      <c r="V48" s="1">
        <f t="shared" si="17"/>
        <v>0.85639739296654915</v>
      </c>
      <c r="W48" s="1">
        <f t="shared" ref="W48:AD48" si="19">W4+W23</f>
        <v>14.184055250968084</v>
      </c>
      <c r="X48" s="1">
        <f t="shared" si="19"/>
        <v>2.0552240846887329</v>
      </c>
      <c r="Y48" s="1">
        <f t="shared" si="19"/>
        <v>5.4576593056242122E-2</v>
      </c>
      <c r="Z48" s="1">
        <f t="shared" si="19"/>
        <v>2.3088631659785488E-2</v>
      </c>
      <c r="AA48" s="1">
        <f t="shared" si="19"/>
        <v>2.3010148292687129E-2</v>
      </c>
      <c r="AB48" s="1">
        <f t="shared" si="19"/>
        <v>0.10146658000384444</v>
      </c>
      <c r="AC48" s="1">
        <f t="shared" si="19"/>
        <v>1.3224191178609266E-2</v>
      </c>
      <c r="AD48" s="1">
        <f t="shared" si="19"/>
        <v>4.2939253604842915E-2</v>
      </c>
    </row>
    <row r="49" spans="1:30" x14ac:dyDescent="0.2">
      <c r="A49" t="s">
        <v>89</v>
      </c>
      <c r="B49" t="s">
        <v>31</v>
      </c>
      <c r="C49" t="s">
        <v>24</v>
      </c>
      <c r="D49" t="s">
        <v>85</v>
      </c>
      <c r="E49" t="s">
        <v>77</v>
      </c>
      <c r="F49">
        <v>1</v>
      </c>
      <c r="G49">
        <v>0.20069999999999999</v>
      </c>
      <c r="H49" s="2" t="s">
        <v>84</v>
      </c>
      <c r="I49" s="2" t="s">
        <v>84</v>
      </c>
      <c r="J49" s="2" t="s">
        <v>84</v>
      </c>
      <c r="K49" s="2" t="s">
        <v>84</v>
      </c>
      <c r="L49" s="2" t="s">
        <v>84</v>
      </c>
      <c r="M49" s="2" t="s">
        <v>84</v>
      </c>
      <c r="N49" s="2" t="s">
        <v>84</v>
      </c>
      <c r="O49" s="2" t="s">
        <v>84</v>
      </c>
      <c r="P49" s="2" t="s">
        <v>84</v>
      </c>
      <c r="Q49" s="2" t="s">
        <v>84</v>
      </c>
      <c r="R49" s="2" t="s">
        <v>84</v>
      </c>
      <c r="S49" s="2" t="s">
        <v>84</v>
      </c>
      <c r="T49" s="2" t="s">
        <v>84</v>
      </c>
      <c r="U49" s="1">
        <f t="shared" si="17"/>
        <v>1.5440220696406541</v>
      </c>
      <c r="V49" s="1">
        <f t="shared" si="17"/>
        <v>2.0828965800181081</v>
      </c>
      <c r="W49" s="1">
        <f t="shared" ref="W49:AD49" si="20">W5+W24</f>
        <v>11.821919502541158</v>
      </c>
      <c r="X49" s="1">
        <f t="shared" si="20"/>
        <v>0.3678954848418024</v>
      </c>
      <c r="Y49" s="1">
        <f t="shared" si="20"/>
        <v>9.2030614836524471E-2</v>
      </c>
      <c r="Z49" s="1">
        <f t="shared" si="20"/>
        <v>1.2927842334963486E-2</v>
      </c>
      <c r="AA49" s="1">
        <f t="shared" si="20"/>
        <v>0.10227028896416507</v>
      </c>
      <c r="AB49" s="1">
        <f t="shared" si="20"/>
        <v>0</v>
      </c>
      <c r="AC49" s="1">
        <f t="shared" si="20"/>
        <v>7.2163993339426158E-3</v>
      </c>
      <c r="AD49" s="1">
        <f t="shared" si="20"/>
        <v>4.3248725360110207E-2</v>
      </c>
    </row>
    <row r="50" spans="1:30" x14ac:dyDescent="0.2">
      <c r="A50" t="s">
        <v>90</v>
      </c>
      <c r="B50" t="s">
        <v>31</v>
      </c>
      <c r="C50" t="s">
        <v>24</v>
      </c>
      <c r="D50" t="s">
        <v>85</v>
      </c>
      <c r="E50" t="s">
        <v>78</v>
      </c>
      <c r="F50">
        <v>2</v>
      </c>
      <c r="G50">
        <v>0.1837</v>
      </c>
      <c r="H50" s="2" t="s">
        <v>84</v>
      </c>
      <c r="I50" s="2" t="s">
        <v>84</v>
      </c>
      <c r="J50" s="2" t="s">
        <v>84</v>
      </c>
      <c r="K50" s="2" t="s">
        <v>84</v>
      </c>
      <c r="L50" s="2" t="s">
        <v>84</v>
      </c>
      <c r="M50" s="2" t="s">
        <v>84</v>
      </c>
      <c r="N50" s="2" t="s">
        <v>84</v>
      </c>
      <c r="O50" s="2" t="s">
        <v>84</v>
      </c>
      <c r="P50" s="2" t="s">
        <v>84</v>
      </c>
      <c r="Q50" s="2" t="s">
        <v>84</v>
      </c>
      <c r="R50" s="2" t="s">
        <v>84</v>
      </c>
      <c r="S50" s="2" t="s">
        <v>84</v>
      </c>
      <c r="T50" s="2" t="s">
        <v>84</v>
      </c>
      <c r="U50" s="1">
        <f t="shared" si="17"/>
        <v>1.8231285209542523</v>
      </c>
      <c r="V50" s="1">
        <f t="shared" si="17"/>
        <v>1.7775819622509732</v>
      </c>
      <c r="W50" s="1">
        <f t="shared" ref="W50:AD50" si="21">W6+W25</f>
        <v>12.296203300542562</v>
      </c>
      <c r="X50" s="1">
        <f t="shared" si="21"/>
        <v>0.52101419010739924</v>
      </c>
      <c r="Y50" s="1">
        <f t="shared" si="21"/>
        <v>0.1015556630915833</v>
      </c>
      <c r="Z50" s="1">
        <f t="shared" si="21"/>
        <v>1.4875121006108358E-2</v>
      </c>
      <c r="AA50" s="1">
        <f t="shared" si="21"/>
        <v>0.10601544909438006</v>
      </c>
      <c r="AB50" s="1">
        <f t="shared" si="21"/>
        <v>5.6483451854610373E-2</v>
      </c>
      <c r="AC50" s="1">
        <f t="shared" si="21"/>
        <v>1.3883778103734992E-2</v>
      </c>
      <c r="AD50" s="1">
        <f t="shared" si="21"/>
        <v>4.4103567080101616E-2</v>
      </c>
    </row>
    <row r="51" spans="1:30" x14ac:dyDescent="0.2">
      <c r="A51" t="s">
        <v>91</v>
      </c>
      <c r="B51" t="s">
        <v>31</v>
      </c>
      <c r="C51" t="s">
        <v>24</v>
      </c>
      <c r="D51" t="s">
        <v>85</v>
      </c>
      <c r="E51" t="s">
        <v>78</v>
      </c>
      <c r="F51">
        <v>3</v>
      </c>
      <c r="G51">
        <v>0.1779</v>
      </c>
      <c r="H51" s="2" t="s">
        <v>84</v>
      </c>
      <c r="I51" s="2" t="s">
        <v>84</v>
      </c>
      <c r="J51" s="2" t="s">
        <v>84</v>
      </c>
      <c r="K51" s="2" t="s">
        <v>84</v>
      </c>
      <c r="L51" s="2" t="s">
        <v>84</v>
      </c>
      <c r="M51" s="2" t="s">
        <v>84</v>
      </c>
      <c r="N51" s="2" t="s">
        <v>84</v>
      </c>
      <c r="O51" s="2" t="s">
        <v>84</v>
      </c>
      <c r="P51" s="2" t="s">
        <v>84</v>
      </c>
      <c r="Q51" s="2" t="s">
        <v>84</v>
      </c>
      <c r="R51" s="2" t="s">
        <v>84</v>
      </c>
      <c r="S51" s="2" t="s">
        <v>84</v>
      </c>
      <c r="T51" s="2" t="s">
        <v>84</v>
      </c>
      <c r="U51" s="1">
        <f t="shared" si="17"/>
        <v>1.8930039138383206</v>
      </c>
      <c r="V51" s="1">
        <f t="shared" si="17"/>
        <v>1.59753866660521</v>
      </c>
      <c r="W51" s="1">
        <f t="shared" ref="W51:AD51" si="22">W7+W26</f>
        <v>12.765976584520756</v>
      </c>
      <c r="X51" s="1">
        <f t="shared" si="22"/>
        <v>0.54367571127668335</v>
      </c>
      <c r="Y51" s="1">
        <f t="shared" si="22"/>
        <v>0.10906945679441735</v>
      </c>
      <c r="Z51" s="1">
        <f t="shared" si="22"/>
        <v>1.8400312570998334E-2</v>
      </c>
      <c r="AA51" s="1">
        <f t="shared" si="22"/>
        <v>0.14717692211842151</v>
      </c>
      <c r="AB51" s="1">
        <f t="shared" si="22"/>
        <v>0.13629668772655668</v>
      </c>
      <c r="AC51" s="1">
        <f t="shared" si="22"/>
        <v>1.6403589695256744E-2</v>
      </c>
      <c r="AD51" s="1">
        <f t="shared" si="22"/>
        <v>9.017971496934693E-2</v>
      </c>
    </row>
    <row r="52" spans="1:30" x14ac:dyDescent="0.2">
      <c r="A52" t="s">
        <v>92</v>
      </c>
      <c r="B52" t="s">
        <v>31</v>
      </c>
      <c r="C52" t="s">
        <v>25</v>
      </c>
      <c r="D52" t="s">
        <v>85</v>
      </c>
      <c r="E52" t="s">
        <v>77</v>
      </c>
      <c r="F52">
        <v>1</v>
      </c>
      <c r="G52">
        <v>0.36859999999999998</v>
      </c>
      <c r="H52" s="2" t="s">
        <v>84</v>
      </c>
      <c r="I52" s="2" t="s">
        <v>84</v>
      </c>
      <c r="J52" s="2" t="s">
        <v>84</v>
      </c>
      <c r="K52" s="2" t="s">
        <v>84</v>
      </c>
      <c r="L52" s="2" t="s">
        <v>84</v>
      </c>
      <c r="M52" s="2" t="s">
        <v>84</v>
      </c>
      <c r="N52" s="2" t="s">
        <v>84</v>
      </c>
      <c r="O52" s="2" t="s">
        <v>84</v>
      </c>
      <c r="P52" s="2" t="s">
        <v>84</v>
      </c>
      <c r="Q52" s="2" t="s">
        <v>84</v>
      </c>
      <c r="R52" s="2" t="s">
        <v>84</v>
      </c>
      <c r="S52" s="2" t="s">
        <v>84</v>
      </c>
      <c r="T52" s="2" t="s">
        <v>84</v>
      </c>
      <c r="U52" s="1">
        <f t="shared" si="17"/>
        <v>1.2349749351452268</v>
      </c>
      <c r="V52" s="1">
        <f t="shared" si="17"/>
        <v>1.5392871528926833</v>
      </c>
      <c r="W52" s="1">
        <f t="shared" ref="W52:AD52" si="23">W8+W27</f>
        <v>101.60998127586257</v>
      </c>
      <c r="X52" s="1">
        <f t="shared" si="23"/>
        <v>16.415551250466713</v>
      </c>
      <c r="Y52" s="1">
        <f t="shared" si="23"/>
        <v>0.59122659925644627</v>
      </c>
      <c r="Z52" s="1">
        <f t="shared" si="23"/>
        <v>5.9530006802346228E-2</v>
      </c>
      <c r="AA52" s="1">
        <f t="shared" si="23"/>
        <v>7.5358749214529216E-2</v>
      </c>
      <c r="AB52" s="1">
        <f t="shared" si="23"/>
        <v>0.14077830014714279</v>
      </c>
      <c r="AC52" s="1">
        <f t="shared" si="23"/>
        <v>4.3380742731806345E-2</v>
      </c>
      <c r="AD52" s="1">
        <f t="shared" si="23"/>
        <v>0.22041861208547964</v>
      </c>
    </row>
    <row r="53" spans="1:30" x14ac:dyDescent="0.2">
      <c r="A53" t="s">
        <v>93</v>
      </c>
      <c r="B53" t="s">
        <v>31</v>
      </c>
      <c r="C53" t="s">
        <v>25</v>
      </c>
      <c r="D53" t="s">
        <v>85</v>
      </c>
      <c r="E53" t="s">
        <v>78</v>
      </c>
      <c r="F53">
        <v>2</v>
      </c>
      <c r="G53">
        <v>0.46439999999999998</v>
      </c>
      <c r="H53" s="2" t="s">
        <v>84</v>
      </c>
      <c r="I53" s="2" t="s">
        <v>84</v>
      </c>
      <c r="J53" s="2" t="s">
        <v>84</v>
      </c>
      <c r="K53" s="2" t="s">
        <v>84</v>
      </c>
      <c r="L53" s="2" t="s">
        <v>84</v>
      </c>
      <c r="M53" s="2" t="s">
        <v>84</v>
      </c>
      <c r="N53" s="2" t="s">
        <v>84</v>
      </c>
      <c r="O53" s="2" t="s">
        <v>84</v>
      </c>
      <c r="P53" s="2" t="s">
        <v>84</v>
      </c>
      <c r="Q53" s="2" t="s">
        <v>84</v>
      </c>
      <c r="R53" s="2" t="s">
        <v>84</v>
      </c>
      <c r="S53" s="2" t="s">
        <v>84</v>
      </c>
      <c r="T53" s="2" t="s">
        <v>84</v>
      </c>
      <c r="U53" s="1">
        <f t="shared" si="17"/>
        <v>1.1662317198903613</v>
      </c>
      <c r="V53" s="1">
        <f t="shared" si="17"/>
        <v>1.0178245256851715</v>
      </c>
      <c r="W53" s="1">
        <f t="shared" ref="W53:AD53" si="24">W9+W28</f>
        <v>71.178872353427806</v>
      </c>
      <c r="X53" s="1">
        <f t="shared" si="24"/>
        <v>21.046470590259116</v>
      </c>
      <c r="Y53" s="1">
        <f t="shared" si="24"/>
        <v>0.34431411176024157</v>
      </c>
      <c r="Z53" s="1">
        <f t="shared" si="24"/>
        <v>8.3842550560392415E-2</v>
      </c>
      <c r="AA53" s="1">
        <f t="shared" si="24"/>
        <v>5.3288385252749079E-2</v>
      </c>
      <c r="AB53" s="1">
        <f t="shared" si="24"/>
        <v>0.34489870449891485</v>
      </c>
      <c r="AC53" s="1">
        <f t="shared" si="24"/>
        <v>6.245707189387744E-2</v>
      </c>
      <c r="AD53" s="1">
        <f t="shared" si="24"/>
        <v>0.16960348159909927</v>
      </c>
    </row>
    <row r="54" spans="1:30" x14ac:dyDescent="0.2">
      <c r="A54" t="s">
        <v>94</v>
      </c>
      <c r="B54" t="s">
        <v>31</v>
      </c>
      <c r="C54" t="s">
        <v>25</v>
      </c>
      <c r="D54" t="s">
        <v>85</v>
      </c>
      <c r="E54" t="s">
        <v>78</v>
      </c>
      <c r="F54">
        <v>3</v>
      </c>
      <c r="G54">
        <v>0.43690000000000001</v>
      </c>
      <c r="H54" s="2" t="s">
        <v>84</v>
      </c>
      <c r="I54" s="2" t="s">
        <v>84</v>
      </c>
      <c r="J54" s="2" t="s">
        <v>84</v>
      </c>
      <c r="K54" s="2" t="s">
        <v>84</v>
      </c>
      <c r="L54" s="2" t="s">
        <v>84</v>
      </c>
      <c r="M54" s="2" t="s">
        <v>84</v>
      </c>
      <c r="N54" s="2" t="s">
        <v>84</v>
      </c>
      <c r="O54" s="2" t="s">
        <v>84</v>
      </c>
      <c r="P54" s="2" t="s">
        <v>84</v>
      </c>
      <c r="Q54" s="2" t="s">
        <v>84</v>
      </c>
      <c r="R54" s="2" t="s">
        <v>84</v>
      </c>
      <c r="S54" s="2" t="s">
        <v>84</v>
      </c>
      <c r="T54" s="2" t="s">
        <v>84</v>
      </c>
      <c r="U54" s="1">
        <f t="shared" si="17"/>
        <v>0.65311137520266449</v>
      </c>
      <c r="V54" s="1">
        <f t="shared" si="17"/>
        <v>1.103445869709351</v>
      </c>
      <c r="W54" s="1">
        <f t="shared" ref="W54:AD54" si="25">W10+W29</f>
        <v>29.758257556286502</v>
      </c>
      <c r="X54" s="1">
        <f t="shared" si="25"/>
        <v>11.292854419209716</v>
      </c>
      <c r="Y54" s="1">
        <f t="shared" si="25"/>
        <v>0.16512019905436809</v>
      </c>
      <c r="Z54" s="1">
        <f t="shared" si="25"/>
        <v>0.1210112888423529</v>
      </c>
      <c r="AA54" s="1">
        <f t="shared" si="25"/>
        <v>6.2320811165374065E-2</v>
      </c>
      <c r="AB54" s="1">
        <f t="shared" si="25"/>
        <v>0.1851529750286737</v>
      </c>
      <c r="AC54" s="1">
        <f t="shared" si="25"/>
        <v>6.9991501743809748E-2</v>
      </c>
      <c r="AD54" s="1">
        <f t="shared" si="25"/>
        <v>0.18748306450434649</v>
      </c>
    </row>
    <row r="55" spans="1:30" x14ac:dyDescent="0.2">
      <c r="A55" t="s">
        <v>95</v>
      </c>
      <c r="B55" t="s">
        <v>31</v>
      </c>
      <c r="C55" t="s">
        <v>23</v>
      </c>
      <c r="D55" t="s">
        <v>85</v>
      </c>
      <c r="E55" t="s">
        <v>77</v>
      </c>
      <c r="F55">
        <v>1</v>
      </c>
      <c r="G55">
        <v>1.6141000000000001</v>
      </c>
      <c r="H55" s="2" t="s">
        <v>84</v>
      </c>
      <c r="I55" s="2" t="s">
        <v>84</v>
      </c>
      <c r="J55" s="2" t="s">
        <v>84</v>
      </c>
      <c r="K55" s="2" t="s">
        <v>84</v>
      </c>
      <c r="L55" s="2" t="s">
        <v>84</v>
      </c>
      <c r="M55" s="2" t="s">
        <v>84</v>
      </c>
      <c r="N55" s="2" t="s">
        <v>84</v>
      </c>
      <c r="O55" s="2" t="s">
        <v>84</v>
      </c>
      <c r="P55" s="2" t="s">
        <v>84</v>
      </c>
      <c r="Q55" s="2" t="s">
        <v>84</v>
      </c>
      <c r="R55" s="2" t="s">
        <v>84</v>
      </c>
      <c r="S55" s="2" t="s">
        <v>84</v>
      </c>
      <c r="T55" s="2" t="s">
        <v>84</v>
      </c>
      <c r="U55" s="1">
        <f t="shared" si="17"/>
        <v>0.10136416270674392</v>
      </c>
      <c r="V55" s="1">
        <f t="shared" si="17"/>
        <v>0.10018835649654209</v>
      </c>
      <c r="W55" s="1">
        <f t="shared" ref="W55:AD55" si="26">W11+W30</f>
        <v>0.40812078509521932</v>
      </c>
      <c r="X55" s="1">
        <f t="shared" si="26"/>
        <v>8.7095662784577293E-3</v>
      </c>
      <c r="Y55" s="1">
        <f t="shared" si="26"/>
        <v>1.4169230798457754E-2</v>
      </c>
      <c r="Z55" s="1">
        <f t="shared" si="26"/>
        <v>3.3982744065372814E-4</v>
      </c>
      <c r="AA55" s="1">
        <f t="shared" si="26"/>
        <v>1.1455963515915435E-3</v>
      </c>
      <c r="AB55" s="1">
        <f t="shared" si="26"/>
        <v>0</v>
      </c>
      <c r="AC55" s="1">
        <f t="shared" si="26"/>
        <v>1.3947543366406333E-4</v>
      </c>
      <c r="AD55" s="1">
        <f t="shared" si="26"/>
        <v>3.0832968427450987E-3</v>
      </c>
    </row>
    <row r="56" spans="1:30" x14ac:dyDescent="0.2">
      <c r="A56" t="s">
        <v>96</v>
      </c>
      <c r="B56" t="s">
        <v>47</v>
      </c>
      <c r="C56" t="s">
        <v>26</v>
      </c>
      <c r="D56" t="s">
        <v>85</v>
      </c>
      <c r="E56" t="s">
        <v>78</v>
      </c>
      <c r="F56">
        <v>1</v>
      </c>
      <c r="G56">
        <v>0.68130000000000002</v>
      </c>
      <c r="H56" s="2" t="s">
        <v>84</v>
      </c>
      <c r="I56" s="2" t="s">
        <v>84</v>
      </c>
      <c r="J56" s="2" t="s">
        <v>84</v>
      </c>
      <c r="K56" s="2" t="s">
        <v>84</v>
      </c>
      <c r="L56" s="2" t="s">
        <v>84</v>
      </c>
      <c r="M56" s="2" t="s">
        <v>84</v>
      </c>
      <c r="N56" s="2" t="s">
        <v>84</v>
      </c>
      <c r="O56" s="2" t="s">
        <v>84</v>
      </c>
      <c r="P56" s="2" t="s">
        <v>84</v>
      </c>
      <c r="Q56" s="2" t="s">
        <v>84</v>
      </c>
      <c r="R56" s="2" t="s">
        <v>84</v>
      </c>
      <c r="S56" s="2" t="s">
        <v>84</v>
      </c>
      <c r="T56" s="2" t="s">
        <v>84</v>
      </c>
      <c r="U56" s="1">
        <f>U12+U34</f>
        <v>0.49795890861383724</v>
      </c>
      <c r="V56" s="1">
        <f t="shared" ref="V56:AD56" si="27">V12+V34</f>
        <v>0.64597635797080288</v>
      </c>
      <c r="W56" s="1">
        <f t="shared" si="27"/>
        <v>9.9843167636976045</v>
      </c>
      <c r="X56" s="1">
        <f t="shared" si="27"/>
        <v>0.42596130436655549</v>
      </c>
      <c r="Y56" s="1">
        <f t="shared" si="27"/>
        <v>6.3157694865218411E-2</v>
      </c>
      <c r="Z56" s="1">
        <f t="shared" si="27"/>
        <v>6.1611272567358754E-3</v>
      </c>
      <c r="AA56" s="1">
        <f t="shared" si="27"/>
        <v>5.4867460479343752E-2</v>
      </c>
      <c r="AB56" s="1">
        <f t="shared" si="27"/>
        <v>3.3854590399832199E-2</v>
      </c>
      <c r="AC56" s="1">
        <f t="shared" si="27"/>
        <v>1.0204857272299922E-2</v>
      </c>
      <c r="AD56" s="1">
        <f t="shared" si="27"/>
        <v>2.7198277535526838E-2</v>
      </c>
    </row>
    <row r="57" spans="1:30" x14ac:dyDescent="0.2">
      <c r="A57" t="s">
        <v>97</v>
      </c>
      <c r="B57" t="s">
        <v>47</v>
      </c>
      <c r="C57" t="s">
        <v>26</v>
      </c>
      <c r="D57" t="s">
        <v>85</v>
      </c>
      <c r="E57" t="s">
        <v>78</v>
      </c>
      <c r="F57">
        <v>2</v>
      </c>
      <c r="G57">
        <v>0.88580000000000003</v>
      </c>
      <c r="H57" s="2" t="s">
        <v>84</v>
      </c>
      <c r="I57" s="2" t="s">
        <v>84</v>
      </c>
      <c r="J57" s="2" t="s">
        <v>84</v>
      </c>
      <c r="K57" s="2" t="s">
        <v>84</v>
      </c>
      <c r="L57" s="2" t="s">
        <v>84</v>
      </c>
      <c r="M57" s="2" t="s">
        <v>84</v>
      </c>
      <c r="N57" s="2" t="s">
        <v>84</v>
      </c>
      <c r="O57" s="2" t="s">
        <v>84</v>
      </c>
      <c r="P57" s="2" t="s">
        <v>84</v>
      </c>
      <c r="Q57" s="2" t="s">
        <v>84</v>
      </c>
      <c r="R57" s="2" t="s">
        <v>84</v>
      </c>
      <c r="S57" s="2" t="s">
        <v>84</v>
      </c>
      <c r="T57" s="2" t="s">
        <v>84</v>
      </c>
      <c r="U57" s="1">
        <f t="shared" ref="U57:AD64" si="28">U13+U35</f>
        <v>0.49748415237262222</v>
      </c>
      <c r="V57" s="1">
        <f t="shared" si="28"/>
        <v>0.57168599444156176</v>
      </c>
      <c r="W57" s="1">
        <f t="shared" si="28"/>
        <v>11.37497636236913</v>
      </c>
      <c r="X57" s="1">
        <f t="shared" si="28"/>
        <v>0.17816306245215541</v>
      </c>
      <c r="Y57" s="1">
        <f t="shared" si="28"/>
        <v>4.6712048499853637E-2</v>
      </c>
      <c r="Z57" s="1">
        <f t="shared" si="28"/>
        <v>5.5289059396312432E-3</v>
      </c>
      <c r="AA57" s="1">
        <f t="shared" si="28"/>
        <v>5.2209586084586548E-2</v>
      </c>
      <c r="AB57" s="1">
        <f t="shared" si="28"/>
        <v>3.8647223264675477E-2</v>
      </c>
      <c r="AC57" s="1">
        <f t="shared" si="28"/>
        <v>8.0051709325981053E-3</v>
      </c>
      <c r="AD57" s="1">
        <f t="shared" si="28"/>
        <v>2.0322804934691335E-2</v>
      </c>
    </row>
    <row r="58" spans="1:30" x14ac:dyDescent="0.2">
      <c r="A58" t="s">
        <v>98</v>
      </c>
      <c r="B58" t="s">
        <v>47</v>
      </c>
      <c r="C58" t="s">
        <v>26</v>
      </c>
      <c r="D58" t="s">
        <v>85</v>
      </c>
      <c r="E58" t="s">
        <v>78</v>
      </c>
      <c r="F58">
        <v>3</v>
      </c>
      <c r="G58">
        <v>0.66400000000000003</v>
      </c>
      <c r="H58" s="2" t="s">
        <v>84</v>
      </c>
      <c r="I58" s="2" t="s">
        <v>84</v>
      </c>
      <c r="J58" s="2" t="s">
        <v>84</v>
      </c>
      <c r="K58" s="2" t="s">
        <v>84</v>
      </c>
      <c r="L58" s="2" t="s">
        <v>84</v>
      </c>
      <c r="M58" s="2" t="s">
        <v>84</v>
      </c>
      <c r="N58" s="2" t="s">
        <v>84</v>
      </c>
      <c r="O58" s="2" t="s">
        <v>84</v>
      </c>
      <c r="P58" s="2" t="s">
        <v>84</v>
      </c>
      <c r="Q58" s="2" t="s">
        <v>84</v>
      </c>
      <c r="R58" s="2" t="s">
        <v>84</v>
      </c>
      <c r="S58" s="2" t="s">
        <v>84</v>
      </c>
      <c r="T58" s="2" t="s">
        <v>84</v>
      </c>
      <c r="U58" s="1">
        <f t="shared" si="28"/>
        <v>0.36774145069918734</v>
      </c>
      <c r="V58" s="1">
        <f t="shared" si="28"/>
        <v>0.75328140254798237</v>
      </c>
      <c r="W58" s="1">
        <f t="shared" si="28"/>
        <v>13.908502499908106</v>
      </c>
      <c r="X58" s="1">
        <f t="shared" si="28"/>
        <v>0.40214310604594267</v>
      </c>
      <c r="Y58" s="1">
        <f t="shared" si="28"/>
        <v>7.4832317190798442E-2</v>
      </c>
      <c r="Z58" s="1">
        <f t="shared" si="28"/>
        <v>5.8900233531908042E-3</v>
      </c>
      <c r="AA58" s="1">
        <f t="shared" si="28"/>
        <v>4.2817392924184669E-2</v>
      </c>
      <c r="AB58" s="1">
        <f t="shared" si="28"/>
        <v>2.5337804375491962E-2</v>
      </c>
      <c r="AC58" s="1">
        <f t="shared" si="28"/>
        <v>8.0429510560829122E-3</v>
      </c>
      <c r="AD58" s="1">
        <f t="shared" si="28"/>
        <v>2.5084308759237797E-2</v>
      </c>
    </row>
    <row r="59" spans="1:30" x14ac:dyDescent="0.2">
      <c r="A59" t="s">
        <v>99</v>
      </c>
      <c r="B59" t="s">
        <v>47</v>
      </c>
      <c r="C59" t="s">
        <v>24</v>
      </c>
      <c r="D59" t="s">
        <v>85</v>
      </c>
      <c r="E59" t="s">
        <v>78</v>
      </c>
      <c r="F59">
        <v>1</v>
      </c>
      <c r="G59">
        <v>0.14000000000000001</v>
      </c>
      <c r="H59" s="2" t="s">
        <v>84</v>
      </c>
      <c r="I59" s="2" t="s">
        <v>84</v>
      </c>
      <c r="J59" s="2" t="s">
        <v>84</v>
      </c>
      <c r="K59" s="2" t="s">
        <v>84</v>
      </c>
      <c r="L59" s="2" t="s">
        <v>84</v>
      </c>
      <c r="M59" s="2" t="s">
        <v>84</v>
      </c>
      <c r="N59" s="2" t="s">
        <v>84</v>
      </c>
      <c r="O59" s="2" t="s">
        <v>84</v>
      </c>
      <c r="P59" s="2" t="s">
        <v>84</v>
      </c>
      <c r="Q59" s="2" t="s">
        <v>84</v>
      </c>
      <c r="R59" s="2" t="s">
        <v>84</v>
      </c>
      <c r="S59" s="2" t="s">
        <v>84</v>
      </c>
      <c r="T59" s="2" t="s">
        <v>84</v>
      </c>
      <c r="U59" s="1">
        <f t="shared" si="28"/>
        <v>1.2411968274695093</v>
      </c>
      <c r="V59" s="1">
        <f t="shared" si="28"/>
        <v>2.141675535005886</v>
      </c>
      <c r="W59" s="1">
        <f t="shared" si="28"/>
        <v>10.94824942933392</v>
      </c>
      <c r="X59" s="1">
        <f t="shared" si="28"/>
        <v>0.24302302596462336</v>
      </c>
      <c r="Y59" s="1">
        <f t="shared" si="28"/>
        <v>0.11985097113944065</v>
      </c>
      <c r="Z59" s="1">
        <f t="shared" si="28"/>
        <v>8.1742885343428252E-3</v>
      </c>
      <c r="AA59" s="1">
        <f t="shared" si="28"/>
        <v>0.11399792121903816</v>
      </c>
      <c r="AB59" s="1">
        <f t="shared" si="28"/>
        <v>4.3230588234598091E-2</v>
      </c>
      <c r="AC59" s="1">
        <f t="shared" si="28"/>
        <v>1.0456257798938839E-2</v>
      </c>
      <c r="AD59" s="1">
        <f t="shared" si="28"/>
        <v>3.5992140562607189E-2</v>
      </c>
    </row>
    <row r="60" spans="1:30" x14ac:dyDescent="0.2">
      <c r="A60" t="s">
        <v>100</v>
      </c>
      <c r="B60" t="s">
        <v>47</v>
      </c>
      <c r="C60" t="s">
        <v>24</v>
      </c>
      <c r="D60" t="s">
        <v>85</v>
      </c>
      <c r="E60" t="s">
        <v>78</v>
      </c>
      <c r="F60">
        <v>2</v>
      </c>
      <c r="G60">
        <v>9.5100000000000004E-2</v>
      </c>
      <c r="H60" s="2" t="s">
        <v>84</v>
      </c>
      <c r="I60" s="2" t="s">
        <v>84</v>
      </c>
      <c r="J60" s="2" t="s">
        <v>84</v>
      </c>
      <c r="K60" s="2" t="s">
        <v>84</v>
      </c>
      <c r="L60" s="2" t="s">
        <v>84</v>
      </c>
      <c r="M60" s="2" t="s">
        <v>84</v>
      </c>
      <c r="N60" s="2" t="s">
        <v>84</v>
      </c>
      <c r="O60" s="2" t="s">
        <v>84</v>
      </c>
      <c r="P60" s="2" t="s">
        <v>84</v>
      </c>
      <c r="Q60" s="2" t="s">
        <v>84</v>
      </c>
      <c r="R60" s="2" t="s">
        <v>84</v>
      </c>
      <c r="S60" s="2" t="s">
        <v>84</v>
      </c>
      <c r="T60" s="2" t="s">
        <v>84</v>
      </c>
      <c r="U60" s="1">
        <f t="shared" si="28"/>
        <v>2.137749254537308</v>
      </c>
      <c r="V60" s="1">
        <f t="shared" si="28"/>
        <v>2.2428958016579892</v>
      </c>
      <c r="W60" s="1">
        <f t="shared" si="28"/>
        <v>13.422997094937614</v>
      </c>
      <c r="X60" s="1">
        <f t="shared" si="28"/>
        <v>0.29337652739452652</v>
      </c>
      <c r="Y60" s="1">
        <f t="shared" si="28"/>
        <v>8.182211179431316E-2</v>
      </c>
      <c r="Z60" s="1">
        <f t="shared" si="28"/>
        <v>6.4965913933098295E-3</v>
      </c>
      <c r="AA60" s="1">
        <f t="shared" si="28"/>
        <v>9.9090173116438779E-2</v>
      </c>
      <c r="AB60" s="1">
        <f t="shared" si="28"/>
        <v>1.8323534544197315E-2</v>
      </c>
      <c r="AC60" s="1">
        <f t="shared" si="28"/>
        <v>1.688251459974292E-2</v>
      </c>
      <c r="AD60" s="1">
        <f t="shared" si="28"/>
        <v>4.164142427631682E-2</v>
      </c>
    </row>
    <row r="61" spans="1:30" x14ac:dyDescent="0.2">
      <c r="A61" t="s">
        <v>101</v>
      </c>
      <c r="B61" t="s">
        <v>47</v>
      </c>
      <c r="C61" t="s">
        <v>24</v>
      </c>
      <c r="D61" t="s">
        <v>85</v>
      </c>
      <c r="E61" t="s">
        <v>78</v>
      </c>
      <c r="F61">
        <v>3</v>
      </c>
      <c r="G61">
        <v>0.12570000000000001</v>
      </c>
      <c r="H61" s="2" t="s">
        <v>84</v>
      </c>
      <c r="I61" s="2" t="s">
        <v>84</v>
      </c>
      <c r="J61" s="2" t="s">
        <v>84</v>
      </c>
      <c r="K61" s="2" t="s">
        <v>84</v>
      </c>
      <c r="L61" s="2" t="s">
        <v>84</v>
      </c>
      <c r="M61" s="2" t="s">
        <v>84</v>
      </c>
      <c r="N61" s="2" t="s">
        <v>84</v>
      </c>
      <c r="O61" s="2" t="s">
        <v>84</v>
      </c>
      <c r="P61" s="2" t="s">
        <v>84</v>
      </c>
      <c r="Q61" s="2" t="s">
        <v>84</v>
      </c>
      <c r="R61" s="2" t="s">
        <v>84</v>
      </c>
      <c r="S61" s="2" t="s">
        <v>84</v>
      </c>
      <c r="T61" s="2" t="s">
        <v>84</v>
      </c>
      <c r="U61" s="1">
        <f t="shared" si="28"/>
        <v>1.4270828965581899</v>
      </c>
      <c r="V61" s="1">
        <f t="shared" si="28"/>
        <v>1.9277353609136032</v>
      </c>
      <c r="W61" s="1">
        <f t="shared" si="28"/>
        <v>13.697944279841197</v>
      </c>
      <c r="X61" s="1">
        <f t="shared" si="28"/>
        <v>0.31668294985725054</v>
      </c>
      <c r="Y61" s="1">
        <f t="shared" si="28"/>
        <v>0.11787028875938553</v>
      </c>
      <c r="Z61" s="1">
        <f t="shared" si="28"/>
        <v>8.0282636898445798E-3</v>
      </c>
      <c r="AA61" s="1">
        <f t="shared" si="28"/>
        <v>7.5696069901445923E-2</v>
      </c>
      <c r="AB61" s="1">
        <f t="shared" si="28"/>
        <v>4.531375145435107E-2</v>
      </c>
      <c r="AC61" s="1">
        <f t="shared" si="28"/>
        <v>1.0264086766818212E-2</v>
      </c>
      <c r="AD61" s="1">
        <f t="shared" si="28"/>
        <v>3.3561732641960565E-2</v>
      </c>
    </row>
    <row r="62" spans="1:30" x14ac:dyDescent="0.2">
      <c r="A62" t="s">
        <v>102</v>
      </c>
      <c r="B62" t="s">
        <v>47</v>
      </c>
      <c r="C62" t="s">
        <v>25</v>
      </c>
      <c r="D62" t="s">
        <v>85</v>
      </c>
      <c r="E62" t="s">
        <v>78</v>
      </c>
      <c r="F62">
        <v>1</v>
      </c>
      <c r="G62">
        <v>0.22670000000000001</v>
      </c>
      <c r="H62" s="2" t="s">
        <v>84</v>
      </c>
      <c r="I62" s="2" t="s">
        <v>84</v>
      </c>
      <c r="J62" s="2" t="s">
        <v>84</v>
      </c>
      <c r="K62" s="2" t="s">
        <v>84</v>
      </c>
      <c r="L62" s="2" t="s">
        <v>84</v>
      </c>
      <c r="M62" s="2" t="s">
        <v>84</v>
      </c>
      <c r="N62" s="2" t="s">
        <v>84</v>
      </c>
      <c r="O62" s="2" t="s">
        <v>84</v>
      </c>
      <c r="P62" s="2" t="s">
        <v>84</v>
      </c>
      <c r="Q62" s="2" t="s">
        <v>84</v>
      </c>
      <c r="R62" s="2" t="s">
        <v>84</v>
      </c>
      <c r="S62" s="2" t="s">
        <v>84</v>
      </c>
      <c r="T62" s="2" t="s">
        <v>84</v>
      </c>
      <c r="U62" s="1">
        <f t="shared" si="28"/>
        <v>1.1460024696384015</v>
      </c>
      <c r="V62" s="1">
        <f t="shared" si="28"/>
        <v>0.93616360541992782</v>
      </c>
      <c r="W62" s="1">
        <f t="shared" si="28"/>
        <v>16.341428886601165</v>
      </c>
      <c r="X62" s="1">
        <f t="shared" si="28"/>
        <v>2.618476373547959</v>
      </c>
      <c r="Y62" s="1">
        <f t="shared" si="28"/>
        <v>0.31777725856803024</v>
      </c>
      <c r="Z62" s="1">
        <f t="shared" si="28"/>
        <v>1.167750666090998E-2</v>
      </c>
      <c r="AA62" s="1">
        <f t="shared" si="28"/>
        <v>7.767347262063444E-2</v>
      </c>
      <c r="AB62" s="1">
        <f t="shared" si="28"/>
        <v>8.1480513646529612E-2</v>
      </c>
      <c r="AC62" s="1">
        <f t="shared" si="28"/>
        <v>4.1104755287341845E-2</v>
      </c>
      <c r="AD62" s="1">
        <f t="shared" si="28"/>
        <v>0.15549639518894998</v>
      </c>
    </row>
    <row r="63" spans="1:30" x14ac:dyDescent="0.2">
      <c r="A63" t="s">
        <v>103</v>
      </c>
      <c r="B63" t="s">
        <v>47</v>
      </c>
      <c r="C63" t="s">
        <v>25</v>
      </c>
      <c r="D63" t="s">
        <v>85</v>
      </c>
      <c r="E63" t="s">
        <v>78</v>
      </c>
      <c r="F63">
        <v>2</v>
      </c>
      <c r="G63">
        <v>0.2412</v>
      </c>
      <c r="H63" s="2" t="s">
        <v>84</v>
      </c>
      <c r="I63" s="2" t="s">
        <v>84</v>
      </c>
      <c r="J63" s="2" t="s">
        <v>84</v>
      </c>
      <c r="K63" s="2" t="s">
        <v>84</v>
      </c>
      <c r="L63" s="2" t="s">
        <v>84</v>
      </c>
      <c r="M63" s="2" t="s">
        <v>84</v>
      </c>
      <c r="N63" s="2" t="s">
        <v>84</v>
      </c>
      <c r="O63" s="2" t="s">
        <v>84</v>
      </c>
      <c r="P63" s="2" t="s">
        <v>84</v>
      </c>
      <c r="Q63" s="2" t="s">
        <v>84</v>
      </c>
      <c r="R63" s="2" t="s">
        <v>84</v>
      </c>
      <c r="S63" s="2" t="s">
        <v>84</v>
      </c>
      <c r="T63" s="2" t="s">
        <v>84</v>
      </c>
      <c r="U63" s="1">
        <f t="shared" si="28"/>
        <v>2.3176899222871503</v>
      </c>
      <c r="V63" s="1">
        <f t="shared" si="28"/>
        <v>1.2967192030539341</v>
      </c>
      <c r="W63" s="1">
        <f t="shared" si="28"/>
        <v>49.580708253275688</v>
      </c>
      <c r="X63" s="1">
        <f t="shared" si="28"/>
        <v>2.2564471179730257</v>
      </c>
      <c r="Y63" s="1">
        <f t="shared" si="28"/>
        <v>0.62350365693370602</v>
      </c>
      <c r="Z63" s="1">
        <f t="shared" si="28"/>
        <v>1.4996345658131398E-2</v>
      </c>
      <c r="AA63" s="1">
        <f t="shared" si="28"/>
        <v>0.11132636763852299</v>
      </c>
      <c r="AB63" s="1">
        <f t="shared" si="28"/>
        <v>0.21211873712333978</v>
      </c>
      <c r="AC63" s="1">
        <f t="shared" si="28"/>
        <v>6.641374027462596E-2</v>
      </c>
      <c r="AD63" s="1">
        <f t="shared" si="28"/>
        <v>0.21987836331217397</v>
      </c>
    </row>
    <row r="64" spans="1:30" x14ac:dyDescent="0.2">
      <c r="A64" t="s">
        <v>104</v>
      </c>
      <c r="B64" t="s">
        <v>47</v>
      </c>
      <c r="C64" t="s">
        <v>25</v>
      </c>
      <c r="D64" t="s">
        <v>85</v>
      </c>
      <c r="E64" t="s">
        <v>78</v>
      </c>
      <c r="F64">
        <v>3</v>
      </c>
      <c r="G64">
        <v>0.20649999999999999</v>
      </c>
      <c r="H64" s="2" t="s">
        <v>84</v>
      </c>
      <c r="I64" s="2" t="s">
        <v>84</v>
      </c>
      <c r="J64" s="2" t="s">
        <v>84</v>
      </c>
      <c r="K64" s="2" t="s">
        <v>84</v>
      </c>
      <c r="L64" s="2" t="s">
        <v>84</v>
      </c>
      <c r="M64" s="2" t="s">
        <v>84</v>
      </c>
      <c r="N64" s="2" t="s">
        <v>84</v>
      </c>
      <c r="O64" s="2" t="s">
        <v>84</v>
      </c>
      <c r="P64" s="2" t="s">
        <v>84</v>
      </c>
      <c r="Q64" s="2" t="s">
        <v>84</v>
      </c>
      <c r="R64" s="2" t="s">
        <v>84</v>
      </c>
      <c r="S64" s="2" t="s">
        <v>84</v>
      </c>
      <c r="T64" s="2" t="s">
        <v>84</v>
      </c>
      <c r="U64" s="1">
        <f t="shared" si="28"/>
        <v>1.647407913295418</v>
      </c>
      <c r="V64" s="1">
        <f t="shared" si="28"/>
        <v>8.4267435319987491</v>
      </c>
      <c r="W64" s="1">
        <f t="shared" si="28"/>
        <v>24.016493999953987</v>
      </c>
      <c r="X64" s="1">
        <f t="shared" si="28"/>
        <v>2.675869500853219</v>
      </c>
      <c r="Y64" s="1">
        <f t="shared" si="28"/>
        <v>0.47969011959608704</v>
      </c>
      <c r="Z64" s="1">
        <f t="shared" si="28"/>
        <v>1.3402486045036747E-2</v>
      </c>
      <c r="AA64" s="1">
        <f t="shared" si="28"/>
        <v>5.9368811120462717E-2</v>
      </c>
      <c r="AB64" s="1">
        <f t="shared" si="28"/>
        <v>6.3064712040079213E-2</v>
      </c>
      <c r="AC64" s="1">
        <f t="shared" si="28"/>
        <v>3.3048486244578033E-2</v>
      </c>
      <c r="AD64" s="1">
        <f t="shared" si="28"/>
        <v>0.1473673594167198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I38:I39 I40 I27 AB8 AB27 AB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2022-12-26T10:00:15Z</dcterms:modified>
</cp:coreProperties>
</file>